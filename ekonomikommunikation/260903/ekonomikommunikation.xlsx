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68e0e598e90526/AI/Claude/Ekonomi/ekonomikommunikation/260903/"/>
    </mc:Choice>
  </mc:AlternateContent>
  <xr:revisionPtr revIDLastSave="178" documentId="8_{9726B3CA-AB78-4A98-A934-370800F06452}" xr6:coauthVersionLast="47" xr6:coauthVersionMax="47" xr10:uidLastSave="{0B95A95B-4021-455E-B28A-30E473863085}"/>
  <bookViews>
    <workbookView xWindow="-28920" yWindow="-120" windowWidth="29040" windowHeight="15720" activeTab="1" xr2:uid="{639CD5D9-9986-427A-B3BB-8D4032026D07}"/>
  </bookViews>
  <sheets>
    <sheet name="fyra_typfall_tid1" sheetId="1" r:id="rId1"/>
    <sheet name="fyra_typfall_tid1 (2)" sheetId="3" r:id="rId2"/>
    <sheet name="fyra_typfall_tid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7" i="3" l="1"/>
  <c r="G87" i="3"/>
  <c r="K83" i="3"/>
  <c r="K87" i="3" s="1"/>
  <c r="J83" i="3"/>
  <c r="J87" i="3" s="1"/>
  <c r="I83" i="3"/>
  <c r="I87" i="3" s="1"/>
  <c r="H83" i="3"/>
  <c r="G83" i="3"/>
  <c r="K79" i="3"/>
  <c r="K89" i="3" s="1"/>
  <c r="J79" i="3"/>
  <c r="J89" i="3" s="1"/>
  <c r="I79" i="3"/>
  <c r="I89" i="3" s="1"/>
  <c r="H79" i="3"/>
  <c r="H89" i="3" s="1"/>
  <c r="G79" i="3"/>
  <c r="G89" i="3" s="1"/>
  <c r="M89" i="3" s="1"/>
  <c r="H65" i="3"/>
  <c r="K61" i="3"/>
  <c r="K65" i="3" s="1"/>
  <c r="J61" i="3"/>
  <c r="J65" i="3" s="1"/>
  <c r="I61" i="3"/>
  <c r="I65" i="3" s="1"/>
  <c r="H61" i="3"/>
  <c r="G61" i="3"/>
  <c r="G65" i="3" s="1"/>
  <c r="K57" i="3"/>
  <c r="K67" i="3" s="1"/>
  <c r="J57" i="3"/>
  <c r="J67" i="3" s="1"/>
  <c r="I57" i="3"/>
  <c r="I67" i="3" s="1"/>
  <c r="H57" i="3"/>
  <c r="H67" i="3" s="1"/>
  <c r="G57" i="3"/>
  <c r="K39" i="3"/>
  <c r="K43" i="3" s="1"/>
  <c r="J39" i="3"/>
  <c r="J43" i="3" s="1"/>
  <c r="I39" i="3"/>
  <c r="I43" i="3" s="1"/>
  <c r="H39" i="3"/>
  <c r="H43" i="3" s="1"/>
  <c r="G39" i="3"/>
  <c r="G43" i="3" s="1"/>
  <c r="K35" i="3"/>
  <c r="J35" i="3"/>
  <c r="J45" i="3" s="1"/>
  <c r="I35" i="3"/>
  <c r="I45" i="3" s="1"/>
  <c r="H35" i="3"/>
  <c r="H45" i="3" s="1"/>
  <c r="G35" i="3"/>
  <c r="G45" i="3" s="1"/>
  <c r="K17" i="3"/>
  <c r="K21" i="3" s="1"/>
  <c r="J17" i="3"/>
  <c r="J21" i="3" s="1"/>
  <c r="I17" i="3"/>
  <c r="I21" i="3" s="1"/>
  <c r="H17" i="3"/>
  <c r="H21" i="3" s="1"/>
  <c r="G17" i="3"/>
  <c r="G21" i="3" s="1"/>
  <c r="K13" i="3"/>
  <c r="K23" i="3" s="1"/>
  <c r="J13" i="3"/>
  <c r="I13" i="3"/>
  <c r="H13" i="3"/>
  <c r="H23" i="3" s="1"/>
  <c r="G13" i="3"/>
  <c r="G23" i="3" s="1"/>
  <c r="G13" i="1"/>
  <c r="M23" i="2"/>
  <c r="M45" i="2"/>
  <c r="O45" i="2"/>
  <c r="O67" i="2"/>
  <c r="O89" i="2"/>
  <c r="G39" i="2"/>
  <c r="K83" i="2"/>
  <c r="K87" i="2" s="1"/>
  <c r="K79" i="2"/>
  <c r="K89" i="2" s="1"/>
  <c r="K61" i="2"/>
  <c r="K65" i="2" s="1"/>
  <c r="K57" i="2"/>
  <c r="K67" i="2" s="1"/>
  <c r="K39" i="2"/>
  <c r="K43" i="2" s="1"/>
  <c r="K35" i="2"/>
  <c r="K17" i="2"/>
  <c r="K21" i="2" s="1"/>
  <c r="K13" i="2"/>
  <c r="J83" i="2"/>
  <c r="J87" i="2" s="1"/>
  <c r="I83" i="2"/>
  <c r="I87" i="2" s="1"/>
  <c r="H83" i="2"/>
  <c r="H87" i="2" s="1"/>
  <c r="G83" i="2"/>
  <c r="G87" i="2" s="1"/>
  <c r="J79" i="2"/>
  <c r="I79" i="2"/>
  <c r="H79" i="2"/>
  <c r="H89" i="2" s="1"/>
  <c r="G79" i="2"/>
  <c r="G89" i="2" s="1"/>
  <c r="J61" i="2"/>
  <c r="J65" i="2" s="1"/>
  <c r="I61" i="2"/>
  <c r="I65" i="2" s="1"/>
  <c r="H61" i="2"/>
  <c r="H65" i="2" s="1"/>
  <c r="G61" i="2"/>
  <c r="G65" i="2" s="1"/>
  <c r="J57" i="2"/>
  <c r="I57" i="2"/>
  <c r="I67" i="2" s="1"/>
  <c r="H57" i="2"/>
  <c r="H67" i="2" s="1"/>
  <c r="G57" i="2"/>
  <c r="G67" i="2" s="1"/>
  <c r="J39" i="2"/>
  <c r="J43" i="2" s="1"/>
  <c r="I39" i="2"/>
  <c r="I43" i="2" s="1"/>
  <c r="H39" i="2"/>
  <c r="H43" i="2" s="1"/>
  <c r="G43" i="2"/>
  <c r="J35" i="2"/>
  <c r="J45" i="2" s="1"/>
  <c r="I35" i="2"/>
  <c r="H35" i="2"/>
  <c r="H45" i="2" s="1"/>
  <c r="G35" i="2"/>
  <c r="G45" i="2" s="1"/>
  <c r="J17" i="2"/>
  <c r="J21" i="2" s="1"/>
  <c r="I17" i="2"/>
  <c r="I21" i="2" s="1"/>
  <c r="H17" i="2"/>
  <c r="H21" i="2" s="1"/>
  <c r="G17" i="2"/>
  <c r="G21" i="2" s="1"/>
  <c r="J13" i="2"/>
  <c r="J23" i="2" s="1"/>
  <c r="I13" i="2"/>
  <c r="I23" i="2" s="1"/>
  <c r="H13" i="2"/>
  <c r="G13" i="2"/>
  <c r="M67" i="1"/>
  <c r="K83" i="1"/>
  <c r="K87" i="1" s="1"/>
  <c r="J83" i="1"/>
  <c r="J87" i="1" s="1"/>
  <c r="I83" i="1"/>
  <c r="I87" i="1" s="1"/>
  <c r="H83" i="1"/>
  <c r="H87" i="1" s="1"/>
  <c r="G83" i="1"/>
  <c r="G87" i="1" s="1"/>
  <c r="K79" i="1"/>
  <c r="K89" i="1" s="1"/>
  <c r="M89" i="1" s="1"/>
  <c r="J79" i="1"/>
  <c r="J89" i="1" s="1"/>
  <c r="I79" i="1"/>
  <c r="I89" i="1" s="1"/>
  <c r="H79" i="1"/>
  <c r="H89" i="1" s="1"/>
  <c r="G79" i="1"/>
  <c r="K61" i="1"/>
  <c r="K65" i="1" s="1"/>
  <c r="J61" i="1"/>
  <c r="J65" i="1" s="1"/>
  <c r="I61" i="1"/>
  <c r="I65" i="1" s="1"/>
  <c r="H61" i="1"/>
  <c r="H65" i="1" s="1"/>
  <c r="G61" i="1"/>
  <c r="G65" i="1" s="1"/>
  <c r="K57" i="1"/>
  <c r="K67" i="1" s="1"/>
  <c r="J57" i="1"/>
  <c r="J67" i="1" s="1"/>
  <c r="I57" i="1"/>
  <c r="I67" i="1" s="1"/>
  <c r="H57" i="1"/>
  <c r="H67" i="1" s="1"/>
  <c r="G57" i="1"/>
  <c r="G67" i="1" s="1"/>
  <c r="K39" i="1"/>
  <c r="K43" i="1" s="1"/>
  <c r="J39" i="1"/>
  <c r="J43" i="1" s="1"/>
  <c r="I39" i="1"/>
  <c r="I43" i="1" s="1"/>
  <c r="H39" i="1"/>
  <c r="H43" i="1" s="1"/>
  <c r="G39" i="1"/>
  <c r="G43" i="1" s="1"/>
  <c r="K35" i="1"/>
  <c r="K45" i="1" s="1"/>
  <c r="J35" i="1"/>
  <c r="I35" i="1"/>
  <c r="H35" i="1"/>
  <c r="G35" i="1"/>
  <c r="K17" i="1"/>
  <c r="K21" i="1" s="1"/>
  <c r="K13" i="1"/>
  <c r="K23" i="1" s="1"/>
  <c r="J21" i="1"/>
  <c r="J17" i="1"/>
  <c r="J13" i="1"/>
  <c r="J23" i="1" s="1"/>
  <c r="I17" i="1"/>
  <c r="I21" i="1" s="1"/>
  <c r="I13" i="1"/>
  <c r="H17" i="1"/>
  <c r="H21" i="1" s="1"/>
  <c r="H13" i="1"/>
  <c r="G17" i="1"/>
  <c r="G21" i="1" s="1"/>
  <c r="J23" i="3" l="1"/>
  <c r="I23" i="3"/>
  <c r="K45" i="3"/>
  <c r="M45" i="3" s="1"/>
  <c r="G67" i="3"/>
  <c r="M67" i="3" s="1"/>
  <c r="J67" i="2"/>
  <c r="M67" i="2"/>
  <c r="K45" i="2"/>
  <c r="J89" i="2"/>
  <c r="I89" i="2"/>
  <c r="I45" i="2"/>
  <c r="G23" i="2"/>
  <c r="H23" i="2"/>
  <c r="K23" i="2"/>
  <c r="M89" i="2"/>
  <c r="G89" i="1"/>
  <c r="J45" i="1"/>
  <c r="M45" i="1" s="1"/>
  <c r="I45" i="1"/>
  <c r="H45" i="1"/>
  <c r="G45" i="1"/>
  <c r="I23" i="1"/>
  <c r="G23" i="1"/>
  <c r="M23" i="1" s="1"/>
  <c r="O23" i="2" s="1"/>
  <c r="H23" i="1"/>
  <c r="M23" i="3" l="1"/>
</calcChain>
</file>

<file path=xl/sharedStrings.xml><?xml version="1.0" encoding="utf-8"?>
<sst xmlns="http://schemas.openxmlformats.org/spreadsheetml/2006/main" count="241" uniqueCount="25">
  <si>
    <t>Bidragsgivare 1, VR</t>
  </si>
  <si>
    <t>Bidragsgivare 3</t>
  </si>
  <si>
    <t>Bidragsgivare 4</t>
  </si>
  <si>
    <t>Bidragsgivare 5</t>
  </si>
  <si>
    <t>Bidragsgivare 6</t>
  </si>
  <si>
    <t>Bidragsgivare 7</t>
  </si>
  <si>
    <t>Bidragsgivare 2, EU</t>
  </si>
  <si>
    <t>X+1</t>
  </si>
  <si>
    <t>X+2</t>
  </si>
  <si>
    <t>X+3</t>
  </si>
  <si>
    <t>X+4</t>
  </si>
  <si>
    <t>TOT intäkter</t>
  </si>
  <si>
    <t>innevarande år X (tkr)</t>
  </si>
  <si>
    <t>Löner</t>
  </si>
  <si>
    <t>Avskrivningar</t>
  </si>
  <si>
    <t>TOT kostnader</t>
  </si>
  <si>
    <t>Diverse</t>
  </si>
  <si>
    <t>RESULTAT</t>
  </si>
  <si>
    <t>OH</t>
  </si>
  <si>
    <t>RESULTATRÄKNING (tkr)  - FALL A</t>
  </si>
  <si>
    <t>RESULTATRÄKNING (tkr)  - FALL B</t>
  </si>
  <si>
    <t>RESULTATRÄKNING (tkr)  - FALL C</t>
  </si>
  <si>
    <t>RESULTATRÄKNING (tkr)  - FALL D</t>
  </si>
  <si>
    <t>RESULTATRÄKNINGAR EN TID SENARE, LÅT OSS SÄGA ETT ÅR SENARE</t>
  </si>
  <si>
    <t>X+5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</si>
</sst>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0" fontId="1" fillId="0" borderId="0" xfId="0" applyFont="1" applyAlignment="1">
      <alignment horizontal="right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98CE-625F-4D2C-95FE-D18F5CFE6F83}">
  <dimension ref="E4:M89"/>
  <sheetViews>
    <sheetView workbookViewId="0">
      <selection activeCell="G12" sqref="G12"/>
    </sheetView>
  </sheetViews>
  <sheetFormatPr defaultRowHeight="15" x14ac:dyDescent="0.25"/>
  <cols>
    <col min="6" max="6" width="24.140625" customWidth="1"/>
    <col min="7" max="7" width="25.42578125" customWidth="1"/>
  </cols>
  <sheetData>
    <row r="4" spans="6:12" x14ac:dyDescent="0.25">
      <c r="F4" s="1" t="s">
        <v>19</v>
      </c>
    </row>
    <row r="5" spans="6:12" x14ac:dyDescent="0.25">
      <c r="G5" s="5" t="s">
        <v>12</v>
      </c>
      <c r="H5" s="5" t="s">
        <v>7</v>
      </c>
      <c r="I5" s="5" t="s">
        <v>8</v>
      </c>
      <c r="J5" s="5" t="s">
        <v>9</v>
      </c>
      <c r="K5" s="5" t="s">
        <v>10</v>
      </c>
    </row>
    <row r="6" spans="6:12" x14ac:dyDescent="0.25">
      <c r="F6" t="s">
        <v>0</v>
      </c>
      <c r="G6" s="2">
        <v>1000</v>
      </c>
      <c r="H6" s="2">
        <v>1000</v>
      </c>
      <c r="I6" s="2">
        <v>1000</v>
      </c>
      <c r="J6" s="2">
        <v>1000</v>
      </c>
      <c r="K6" s="2">
        <v>1000</v>
      </c>
      <c r="L6" s="2"/>
    </row>
    <row r="7" spans="6:12" x14ac:dyDescent="0.25">
      <c r="F7" t="s">
        <v>6</v>
      </c>
      <c r="G7" s="2">
        <v>2000</v>
      </c>
      <c r="H7" s="2">
        <v>2000</v>
      </c>
      <c r="I7" s="2">
        <v>2000</v>
      </c>
      <c r="J7" s="2">
        <v>2000</v>
      </c>
      <c r="K7" s="2">
        <v>2000</v>
      </c>
      <c r="L7" s="2"/>
    </row>
    <row r="8" spans="6:12" x14ac:dyDescent="0.25">
      <c r="F8" t="s">
        <v>1</v>
      </c>
      <c r="G8" s="2">
        <v>1100</v>
      </c>
      <c r="H8" s="2">
        <v>1100</v>
      </c>
      <c r="I8" s="2">
        <v>1100</v>
      </c>
      <c r="J8" s="2">
        <v>1100</v>
      </c>
      <c r="K8" s="2">
        <v>1100</v>
      </c>
      <c r="L8" s="2"/>
    </row>
    <row r="9" spans="6:12" x14ac:dyDescent="0.25">
      <c r="F9" t="s">
        <v>2</v>
      </c>
      <c r="G9" s="2">
        <v>3000</v>
      </c>
      <c r="H9" s="2">
        <v>3000</v>
      </c>
      <c r="I9" s="2">
        <v>3000</v>
      </c>
      <c r="J9" s="2">
        <v>3000</v>
      </c>
      <c r="K9" s="2">
        <v>3000</v>
      </c>
      <c r="L9" s="2"/>
    </row>
    <row r="10" spans="6:12" x14ac:dyDescent="0.25">
      <c r="F10" t="s">
        <v>3</v>
      </c>
      <c r="G10" s="2">
        <v>500</v>
      </c>
      <c r="H10" s="2">
        <v>500</v>
      </c>
      <c r="I10" s="2">
        <v>500</v>
      </c>
      <c r="J10" s="2">
        <v>500</v>
      </c>
      <c r="K10" s="2">
        <v>500</v>
      </c>
      <c r="L10" s="2"/>
    </row>
    <row r="11" spans="6:12" x14ac:dyDescent="0.25">
      <c r="F11" t="s">
        <v>4</v>
      </c>
      <c r="G11" s="2">
        <v>700</v>
      </c>
      <c r="H11" s="2"/>
      <c r="I11" s="2"/>
      <c r="J11" s="2"/>
      <c r="K11" s="2"/>
      <c r="L11" s="2"/>
    </row>
    <row r="12" spans="6:12" x14ac:dyDescent="0.25">
      <c r="F12" t="s">
        <v>5</v>
      </c>
      <c r="G12" s="2">
        <v>3000</v>
      </c>
      <c r="H12" s="2"/>
      <c r="I12" s="2"/>
      <c r="J12" s="2"/>
      <c r="K12" s="2"/>
      <c r="L12" s="2"/>
    </row>
    <row r="13" spans="6:12" x14ac:dyDescent="0.25">
      <c r="F13" s="1" t="s">
        <v>11</v>
      </c>
      <c r="G13" s="3">
        <f>SUM(G6:G12)</f>
        <v>11300</v>
      </c>
      <c r="H13" s="3">
        <f>SUM(H6:H12)</f>
        <v>7600</v>
      </c>
      <c r="I13" s="3">
        <f>SUM(I6:I12)</f>
        <v>7600</v>
      </c>
      <c r="J13" s="3">
        <f>SUM(J6:J12)</f>
        <v>7600</v>
      </c>
      <c r="K13" s="3">
        <f>SUM(K6:K12)</f>
        <v>7600</v>
      </c>
      <c r="L13" s="2"/>
    </row>
    <row r="14" spans="6:12" x14ac:dyDescent="0.25">
      <c r="G14" s="2"/>
      <c r="H14" s="2"/>
      <c r="I14" s="2"/>
      <c r="J14" s="2"/>
      <c r="K14" s="2"/>
      <c r="L14" s="2"/>
    </row>
    <row r="15" spans="6:12" x14ac:dyDescent="0.25">
      <c r="F15" t="s">
        <v>13</v>
      </c>
      <c r="G15" s="2">
        <v>-7000</v>
      </c>
      <c r="H15" s="2">
        <v>-5000</v>
      </c>
      <c r="I15" s="2">
        <v>-5000</v>
      </c>
      <c r="J15" s="2">
        <v>-5000</v>
      </c>
      <c r="K15" s="2">
        <v>-5000</v>
      </c>
      <c r="L15" s="2"/>
    </row>
    <row r="16" spans="6:12" x14ac:dyDescent="0.25">
      <c r="F16" t="s">
        <v>16</v>
      </c>
      <c r="G16" s="2">
        <v>-1000</v>
      </c>
      <c r="H16" s="2">
        <v>-1000</v>
      </c>
      <c r="I16" s="2">
        <v>-1000</v>
      </c>
      <c r="J16" s="2">
        <v>-1000</v>
      </c>
      <c r="K16" s="2">
        <v>-1000</v>
      </c>
      <c r="L16" s="2"/>
    </row>
    <row r="17" spans="5:13" x14ac:dyDescent="0.25">
      <c r="E17" s="4">
        <v>0.22</v>
      </c>
      <c r="F17" t="s">
        <v>18</v>
      </c>
      <c r="G17" s="2">
        <f>0.22*G15</f>
        <v>-1540</v>
      </c>
      <c r="H17" s="2">
        <f>0.22*H15</f>
        <v>-1100</v>
      </c>
      <c r="I17" s="2">
        <f>0.22*I15</f>
        <v>-1100</v>
      </c>
      <c r="J17" s="2">
        <f>0.22*J15</f>
        <v>-1100</v>
      </c>
      <c r="K17" s="2">
        <f>0.22*K15</f>
        <v>-1100</v>
      </c>
      <c r="L17" s="2"/>
    </row>
    <row r="18" spans="5:13" x14ac:dyDescent="0.25">
      <c r="G18" s="2"/>
      <c r="H18" s="2"/>
      <c r="I18" s="2"/>
      <c r="J18" s="2"/>
      <c r="K18" s="2"/>
      <c r="L18" s="2"/>
    </row>
    <row r="19" spans="5:13" x14ac:dyDescent="0.25">
      <c r="F19" t="s">
        <v>14</v>
      </c>
      <c r="G19" s="2">
        <v>-500</v>
      </c>
      <c r="H19" s="2">
        <v>-500</v>
      </c>
      <c r="I19" s="2">
        <v>-500</v>
      </c>
      <c r="J19" s="2">
        <v>-500</v>
      </c>
      <c r="K19" s="2">
        <v>-500</v>
      </c>
      <c r="L19" s="2"/>
    </row>
    <row r="20" spans="5:13" x14ac:dyDescent="0.25">
      <c r="G20" s="2"/>
      <c r="H20" s="2"/>
      <c r="I20" s="2"/>
      <c r="J20" s="2"/>
      <c r="K20" s="2"/>
      <c r="L20" s="2"/>
    </row>
    <row r="21" spans="5:13" x14ac:dyDescent="0.25">
      <c r="F21" s="1" t="s">
        <v>15</v>
      </c>
      <c r="G21" s="3">
        <f>SUM(G15:G20)</f>
        <v>-10040</v>
      </c>
      <c r="H21" s="3">
        <f>SUM(H15:H20)</f>
        <v>-7600</v>
      </c>
      <c r="I21" s="3">
        <f>SUM(I15:I20)</f>
        <v>-7600</v>
      </c>
      <c r="J21" s="3">
        <f>SUM(J15:J20)</f>
        <v>-7600</v>
      </c>
      <c r="K21" s="3">
        <f>SUM(K15:K20)</f>
        <v>-7600</v>
      </c>
      <c r="L21" s="3"/>
      <c r="M21" s="1"/>
    </row>
    <row r="22" spans="5:13" x14ac:dyDescent="0.25">
      <c r="G22" s="2"/>
      <c r="H22" s="2"/>
      <c r="I22" s="2"/>
      <c r="J22" s="2"/>
      <c r="K22" s="2"/>
      <c r="L22" s="2"/>
    </row>
    <row r="23" spans="5:13" ht="15.75" x14ac:dyDescent="0.25">
      <c r="F23" s="6" t="s">
        <v>17</v>
      </c>
      <c r="G23" s="7">
        <f>G13+G21</f>
        <v>1260</v>
      </c>
      <c r="H23" s="7">
        <f>H13+H21</f>
        <v>0</v>
      </c>
      <c r="I23" s="7">
        <f>I13+I21</f>
        <v>0</v>
      </c>
      <c r="J23" s="7">
        <f>J13+J21</f>
        <v>0</v>
      </c>
      <c r="K23" s="7">
        <f>K13+K21</f>
        <v>0</v>
      </c>
      <c r="L23" s="2"/>
      <c r="M23" s="2">
        <f>SUM(G23:L23)</f>
        <v>1260</v>
      </c>
    </row>
    <row r="24" spans="5:13" x14ac:dyDescent="0.25">
      <c r="G24" s="2"/>
      <c r="H24" s="2"/>
      <c r="I24" s="2"/>
      <c r="J24" s="2"/>
      <c r="K24" s="2"/>
      <c r="L24" s="2"/>
    </row>
    <row r="25" spans="5:13" x14ac:dyDescent="0.25">
      <c r="G25" s="2"/>
      <c r="H25" s="2"/>
      <c r="I25" s="2"/>
      <c r="J25" s="2"/>
      <c r="K25" s="2"/>
      <c r="L25" s="2"/>
    </row>
    <row r="26" spans="5:13" x14ac:dyDescent="0.25">
      <c r="F26" s="1" t="s">
        <v>20</v>
      </c>
      <c r="L26" s="2"/>
    </row>
    <row r="27" spans="5:13" x14ac:dyDescent="0.25">
      <c r="G27" s="5" t="s">
        <v>12</v>
      </c>
      <c r="H27" s="5" t="s">
        <v>7</v>
      </c>
      <c r="I27" s="5" t="s">
        <v>8</v>
      </c>
      <c r="J27" s="5" t="s">
        <v>9</v>
      </c>
      <c r="K27" s="5" t="s">
        <v>10</v>
      </c>
      <c r="L27" s="2"/>
    </row>
    <row r="28" spans="5:13" x14ac:dyDescent="0.25">
      <c r="F28" t="s">
        <v>0</v>
      </c>
      <c r="G28" s="2">
        <v>1000</v>
      </c>
      <c r="H28" s="2">
        <v>1000</v>
      </c>
      <c r="I28" s="2">
        <v>1000</v>
      </c>
      <c r="J28" s="2">
        <v>1000</v>
      </c>
      <c r="K28" s="2">
        <v>1000</v>
      </c>
      <c r="L28" s="2"/>
    </row>
    <row r="29" spans="5:13" x14ac:dyDescent="0.25">
      <c r="F29" t="s">
        <v>6</v>
      </c>
      <c r="G29" s="2">
        <v>2000</v>
      </c>
      <c r="H29" s="2">
        <v>2000</v>
      </c>
      <c r="I29" s="2">
        <v>2000</v>
      </c>
      <c r="J29" s="2">
        <v>2000</v>
      </c>
      <c r="K29" s="2">
        <v>2000</v>
      </c>
      <c r="L29" s="2"/>
    </row>
    <row r="30" spans="5:13" x14ac:dyDescent="0.25">
      <c r="F30" t="s">
        <v>1</v>
      </c>
      <c r="G30" s="2">
        <v>1100</v>
      </c>
      <c r="H30" s="2">
        <v>1100</v>
      </c>
      <c r="I30" s="2">
        <v>1100</v>
      </c>
      <c r="J30" s="2">
        <v>1100</v>
      </c>
      <c r="K30" s="2">
        <v>1100</v>
      </c>
      <c r="L30" s="2"/>
    </row>
    <row r="31" spans="5:13" x14ac:dyDescent="0.25">
      <c r="F31" t="s">
        <v>2</v>
      </c>
      <c r="G31" s="2">
        <v>3000</v>
      </c>
      <c r="H31" s="2">
        <v>3000</v>
      </c>
      <c r="I31" s="2">
        <v>3000</v>
      </c>
      <c r="J31" s="2">
        <v>3000</v>
      </c>
      <c r="K31" s="2"/>
      <c r="L31" s="2"/>
    </row>
    <row r="32" spans="5:13" x14ac:dyDescent="0.25">
      <c r="F32" t="s">
        <v>3</v>
      </c>
      <c r="G32" s="2">
        <v>500</v>
      </c>
      <c r="H32" s="2">
        <v>500</v>
      </c>
      <c r="I32" s="2">
        <v>500</v>
      </c>
      <c r="J32" s="2"/>
      <c r="K32" s="2"/>
      <c r="L32" s="2"/>
    </row>
    <row r="33" spans="6:13" x14ac:dyDescent="0.25">
      <c r="F33" t="s">
        <v>4</v>
      </c>
      <c r="G33" s="2">
        <v>700</v>
      </c>
      <c r="H33" s="2"/>
      <c r="I33" s="2"/>
      <c r="J33" s="2"/>
      <c r="K33" s="2"/>
      <c r="L33" s="2"/>
    </row>
    <row r="34" spans="6:13" x14ac:dyDescent="0.25">
      <c r="F34" t="s">
        <v>5</v>
      </c>
      <c r="G34" s="2">
        <v>3000</v>
      </c>
      <c r="H34" s="2"/>
      <c r="I34" s="2"/>
      <c r="J34" s="2"/>
      <c r="K34" s="2"/>
      <c r="L34" s="2"/>
    </row>
    <row r="35" spans="6:13" x14ac:dyDescent="0.25">
      <c r="F35" s="1" t="s">
        <v>11</v>
      </c>
      <c r="G35" s="3">
        <f>SUM(G28:G34)</f>
        <v>11300</v>
      </c>
      <c r="H35" s="3">
        <f>SUM(H28:H34)</f>
        <v>7600</v>
      </c>
      <c r="I35" s="3">
        <f>SUM(I28:I34)</f>
        <v>7600</v>
      </c>
      <c r="J35" s="3">
        <f>SUM(J28:J34)</f>
        <v>7100</v>
      </c>
      <c r="K35" s="3">
        <f>SUM(K28:K34)</f>
        <v>4100</v>
      </c>
    </row>
    <row r="36" spans="6:13" x14ac:dyDescent="0.25">
      <c r="G36" s="2"/>
      <c r="H36" s="2"/>
      <c r="I36" s="2"/>
      <c r="J36" s="2"/>
      <c r="K36" s="2"/>
    </row>
    <row r="37" spans="6:13" x14ac:dyDescent="0.25">
      <c r="F37" t="s">
        <v>13</v>
      </c>
      <c r="G37" s="2">
        <v>-7000</v>
      </c>
      <c r="H37" s="2">
        <v>-5000</v>
      </c>
      <c r="I37" s="2">
        <v>-5000</v>
      </c>
      <c r="J37" s="2">
        <v>-5000</v>
      </c>
      <c r="K37" s="2">
        <v>-5000</v>
      </c>
    </row>
    <row r="38" spans="6:13" x14ac:dyDescent="0.25">
      <c r="F38" t="s">
        <v>16</v>
      </c>
      <c r="G38" s="2">
        <v>-1000</v>
      </c>
      <c r="H38" s="2">
        <v>-1000</v>
      </c>
      <c r="I38" s="2">
        <v>-1000</v>
      </c>
      <c r="J38" s="2">
        <v>-1000</v>
      </c>
      <c r="K38" s="2">
        <v>-1000</v>
      </c>
    </row>
    <row r="39" spans="6:13" x14ac:dyDescent="0.25">
      <c r="F39" t="s">
        <v>18</v>
      </c>
      <c r="G39" s="2">
        <f>0.22*G37</f>
        <v>-1540</v>
      </c>
      <c r="H39" s="2">
        <f>0.22*H37</f>
        <v>-1100</v>
      </c>
      <c r="I39" s="2">
        <f>0.22*I37</f>
        <v>-1100</v>
      </c>
      <c r="J39" s="2">
        <f>0.22*J37</f>
        <v>-1100</v>
      </c>
      <c r="K39" s="2">
        <f>0.22*K37</f>
        <v>-1100</v>
      </c>
    </row>
    <row r="40" spans="6:13" x14ac:dyDescent="0.25">
      <c r="G40" s="2"/>
      <c r="H40" s="2"/>
      <c r="I40" s="2"/>
      <c r="J40" s="2"/>
      <c r="K40" s="2"/>
    </row>
    <row r="41" spans="6:13" x14ac:dyDescent="0.25">
      <c r="F41" t="s">
        <v>14</v>
      </c>
      <c r="G41" s="2">
        <v>-500</v>
      </c>
      <c r="H41" s="2">
        <v>-500</v>
      </c>
      <c r="I41" s="2">
        <v>-500</v>
      </c>
      <c r="J41" s="2">
        <v>-500</v>
      </c>
      <c r="K41" s="2">
        <v>-500</v>
      </c>
    </row>
    <row r="42" spans="6:13" x14ac:dyDescent="0.25">
      <c r="G42" s="2"/>
      <c r="H42" s="2"/>
      <c r="I42" s="2"/>
      <c r="J42" s="2"/>
      <c r="K42" s="2"/>
    </row>
    <row r="43" spans="6:13" x14ac:dyDescent="0.25">
      <c r="F43" s="1" t="s">
        <v>15</v>
      </c>
      <c r="G43" s="3">
        <f>SUM(G37:G42)</f>
        <v>-10040</v>
      </c>
      <c r="H43" s="3">
        <f>SUM(H37:H42)</f>
        <v>-7600</v>
      </c>
      <c r="I43" s="3">
        <f>SUM(I37:I42)</f>
        <v>-7600</v>
      </c>
      <c r="J43" s="3">
        <f>SUM(J37:J42)</f>
        <v>-7600</v>
      </c>
      <c r="K43" s="3">
        <f>SUM(K37:K42)</f>
        <v>-7600</v>
      </c>
    </row>
    <row r="44" spans="6:13" x14ac:dyDescent="0.25">
      <c r="G44" s="2"/>
      <c r="H44" s="2"/>
      <c r="I44" s="2"/>
      <c r="J44" s="2"/>
      <c r="K44" s="2"/>
    </row>
    <row r="45" spans="6:13" ht="15.75" x14ac:dyDescent="0.25">
      <c r="F45" s="6" t="s">
        <v>17</v>
      </c>
      <c r="G45" s="7">
        <f>G35+G43</f>
        <v>1260</v>
      </c>
      <c r="H45" s="7">
        <f>H35+H43</f>
        <v>0</v>
      </c>
      <c r="I45" s="7">
        <f>I35+I43</f>
        <v>0</v>
      </c>
      <c r="J45" s="7">
        <f>J35+J43</f>
        <v>-500</v>
      </c>
      <c r="K45" s="7">
        <f>K35+K43</f>
        <v>-3500</v>
      </c>
      <c r="M45" s="2">
        <f>SUM(G45:L45)</f>
        <v>-2740</v>
      </c>
    </row>
    <row r="48" spans="6:13" x14ac:dyDescent="0.25">
      <c r="F48" s="1" t="s">
        <v>21</v>
      </c>
    </row>
    <row r="49" spans="6:11" x14ac:dyDescent="0.25">
      <c r="G49" s="5" t="s">
        <v>12</v>
      </c>
      <c r="H49" s="5" t="s">
        <v>7</v>
      </c>
      <c r="I49" s="5" t="s">
        <v>8</v>
      </c>
      <c r="J49" s="5" t="s">
        <v>9</v>
      </c>
      <c r="K49" s="5" t="s">
        <v>10</v>
      </c>
    </row>
    <row r="50" spans="6:11" x14ac:dyDescent="0.25">
      <c r="F50" t="s">
        <v>0</v>
      </c>
      <c r="G50" s="2">
        <v>1000</v>
      </c>
      <c r="H50" s="2">
        <v>1000</v>
      </c>
      <c r="I50" s="2">
        <v>1000</v>
      </c>
      <c r="J50" s="2">
        <v>1000</v>
      </c>
      <c r="K50" s="2">
        <v>1000</v>
      </c>
    </row>
    <row r="51" spans="6:11" x14ac:dyDescent="0.25">
      <c r="F51" t="s">
        <v>6</v>
      </c>
      <c r="G51" s="2">
        <v>2000</v>
      </c>
      <c r="H51" s="2">
        <v>2000</v>
      </c>
      <c r="I51" s="2">
        <v>2000</v>
      </c>
      <c r="J51" s="2">
        <v>2000</v>
      </c>
      <c r="K51" s="2">
        <v>2000</v>
      </c>
    </row>
    <row r="52" spans="6:11" x14ac:dyDescent="0.25">
      <c r="F52" t="s">
        <v>1</v>
      </c>
      <c r="G52" s="2">
        <v>1100</v>
      </c>
      <c r="H52" s="2">
        <v>1100</v>
      </c>
      <c r="I52" s="2">
        <v>1100</v>
      </c>
      <c r="J52" s="2">
        <v>1100</v>
      </c>
      <c r="K52" s="2"/>
    </row>
    <row r="53" spans="6:11" x14ac:dyDescent="0.25">
      <c r="F53" t="s">
        <v>2</v>
      </c>
      <c r="G53" s="2">
        <v>3000</v>
      </c>
      <c r="H53" s="2">
        <v>3000</v>
      </c>
      <c r="I53" s="2">
        <v>3000</v>
      </c>
      <c r="J53" s="2"/>
      <c r="K53" s="2"/>
    </row>
    <row r="54" spans="6:11" x14ac:dyDescent="0.25">
      <c r="F54" t="s">
        <v>3</v>
      </c>
      <c r="G54" s="2">
        <v>500</v>
      </c>
      <c r="H54" s="2">
        <v>500</v>
      </c>
      <c r="I54" s="2">
        <v>500</v>
      </c>
      <c r="J54" s="2">
        <v>500</v>
      </c>
      <c r="K54" s="2"/>
    </row>
    <row r="55" spans="6:11" x14ac:dyDescent="0.25">
      <c r="F55" t="s">
        <v>4</v>
      </c>
      <c r="G55" s="2">
        <v>700</v>
      </c>
      <c r="H55" s="2"/>
      <c r="I55" s="2"/>
      <c r="J55" s="2"/>
      <c r="K55" s="2"/>
    </row>
    <row r="56" spans="6:11" x14ac:dyDescent="0.25">
      <c r="F56" t="s">
        <v>5</v>
      </c>
      <c r="G56" s="2">
        <v>3000</v>
      </c>
      <c r="H56" s="2"/>
      <c r="I56" s="2"/>
      <c r="J56" s="2"/>
      <c r="K56" s="2"/>
    </row>
    <row r="57" spans="6:11" x14ac:dyDescent="0.25">
      <c r="F57" s="1" t="s">
        <v>11</v>
      </c>
      <c r="G57" s="3">
        <f>SUM(G50:G56)</f>
        <v>11300</v>
      </c>
      <c r="H57" s="3">
        <f>SUM(H50:H56)</f>
        <v>7600</v>
      </c>
      <c r="I57" s="3">
        <f>SUM(I50:I56)</f>
        <v>7600</v>
      </c>
      <c r="J57" s="3">
        <f>SUM(J50:J56)</f>
        <v>4600</v>
      </c>
      <c r="K57" s="3">
        <f>SUM(K50:K56)</f>
        <v>3000</v>
      </c>
    </row>
    <row r="58" spans="6:11" x14ac:dyDescent="0.25">
      <c r="G58" s="2"/>
      <c r="H58" s="2"/>
      <c r="I58" s="2"/>
      <c r="J58" s="2"/>
      <c r="K58" s="2"/>
    </row>
    <row r="59" spans="6:11" x14ac:dyDescent="0.25">
      <c r="F59" t="s">
        <v>13</v>
      </c>
      <c r="G59" s="2">
        <v>-7000</v>
      </c>
      <c r="H59" s="2">
        <v>-5000</v>
      </c>
      <c r="I59" s="2">
        <v>-5000</v>
      </c>
      <c r="J59" s="2">
        <v>-5000</v>
      </c>
      <c r="K59" s="2">
        <v>-5000</v>
      </c>
    </row>
    <row r="60" spans="6:11" x14ac:dyDescent="0.25">
      <c r="F60" t="s">
        <v>16</v>
      </c>
      <c r="G60" s="2">
        <v>-1000</v>
      </c>
      <c r="H60" s="2">
        <v>-1000</v>
      </c>
      <c r="I60" s="2">
        <v>-1000</v>
      </c>
      <c r="J60" s="2">
        <v>-1000</v>
      </c>
      <c r="K60" s="2">
        <v>-1000</v>
      </c>
    </row>
    <row r="61" spans="6:11" x14ac:dyDescent="0.25">
      <c r="F61" t="s">
        <v>18</v>
      </c>
      <c r="G61" s="2">
        <f>0.22*G59</f>
        <v>-1540</v>
      </c>
      <c r="H61" s="2">
        <f>0.22*H59</f>
        <v>-1100</v>
      </c>
      <c r="I61" s="2">
        <f>0.22*I59</f>
        <v>-1100</v>
      </c>
      <c r="J61" s="2">
        <f>0.22*J59</f>
        <v>-1100</v>
      </c>
      <c r="K61" s="2">
        <f>0.22*K59</f>
        <v>-1100</v>
      </c>
    </row>
    <row r="62" spans="6:11" x14ac:dyDescent="0.25">
      <c r="G62" s="2"/>
      <c r="H62" s="2"/>
      <c r="I62" s="2"/>
      <c r="J62" s="2"/>
      <c r="K62" s="2"/>
    </row>
    <row r="63" spans="6:11" x14ac:dyDescent="0.25">
      <c r="F63" t="s">
        <v>14</v>
      </c>
      <c r="G63" s="2">
        <v>-500</v>
      </c>
      <c r="H63" s="2">
        <v>-500</v>
      </c>
      <c r="I63" s="2">
        <v>-500</v>
      </c>
      <c r="J63" s="2">
        <v>-500</v>
      </c>
      <c r="K63" s="2">
        <v>-500</v>
      </c>
    </row>
    <row r="64" spans="6:11" x14ac:dyDescent="0.25">
      <c r="G64" s="2"/>
      <c r="H64" s="2"/>
      <c r="I64" s="2"/>
      <c r="J64" s="2"/>
      <c r="K64" s="2"/>
    </row>
    <row r="65" spans="6:13" x14ac:dyDescent="0.25">
      <c r="F65" s="1" t="s">
        <v>15</v>
      </c>
      <c r="G65" s="3">
        <f>SUM(G59:G64)</f>
        <v>-10040</v>
      </c>
      <c r="H65" s="3">
        <f>SUM(H59:H64)</f>
        <v>-7600</v>
      </c>
      <c r="I65" s="3">
        <f>SUM(I59:I64)</f>
        <v>-7600</v>
      </c>
      <c r="J65" s="3">
        <f>SUM(J59:J64)</f>
        <v>-7600</v>
      </c>
      <c r="K65" s="3">
        <f>SUM(K59:K64)</f>
        <v>-7600</v>
      </c>
    </row>
    <row r="66" spans="6:13" x14ac:dyDescent="0.25">
      <c r="G66" s="2"/>
      <c r="H66" s="2"/>
      <c r="I66" s="2"/>
      <c r="J66" s="2"/>
      <c r="K66" s="2"/>
    </row>
    <row r="67" spans="6:13" x14ac:dyDescent="0.25">
      <c r="F67" t="s">
        <v>17</v>
      </c>
      <c r="G67" s="2">
        <f>G57+G65</f>
        <v>1260</v>
      </c>
      <c r="H67" s="2">
        <f>H57+H65</f>
        <v>0</v>
      </c>
      <c r="I67" s="2">
        <f>I57+I65</f>
        <v>0</v>
      </c>
      <c r="J67" s="2">
        <f>J57+J65</f>
        <v>-3000</v>
      </c>
      <c r="K67" s="2">
        <f>K57+K65</f>
        <v>-4600</v>
      </c>
      <c r="M67" s="2">
        <f>SUM(G67:L67)</f>
        <v>-6340</v>
      </c>
    </row>
    <row r="70" spans="6:13" x14ac:dyDescent="0.25">
      <c r="F70" s="1" t="s">
        <v>22</v>
      </c>
    </row>
    <row r="71" spans="6:13" x14ac:dyDescent="0.25">
      <c r="G71" s="5" t="s">
        <v>12</v>
      </c>
      <c r="H71" s="5" t="s">
        <v>7</v>
      </c>
      <c r="I71" s="5" t="s">
        <v>8</v>
      </c>
      <c r="J71" s="5" t="s">
        <v>9</v>
      </c>
      <c r="K71" s="5" t="s">
        <v>10</v>
      </c>
    </row>
    <row r="72" spans="6:13" x14ac:dyDescent="0.25">
      <c r="F72" t="s">
        <v>0</v>
      </c>
      <c r="G72" s="2">
        <v>1000</v>
      </c>
      <c r="H72" s="2">
        <v>1000</v>
      </c>
      <c r="I72" s="2">
        <v>1000</v>
      </c>
      <c r="J72" s="2">
        <v>1000</v>
      </c>
      <c r="K72" s="2"/>
    </row>
    <row r="73" spans="6:13" x14ac:dyDescent="0.25">
      <c r="F73" t="s">
        <v>6</v>
      </c>
      <c r="G73" s="2">
        <v>2000</v>
      </c>
      <c r="H73" s="2">
        <v>2000</v>
      </c>
      <c r="I73" s="2">
        <v>2000</v>
      </c>
      <c r="J73" s="2">
        <v>2000</v>
      </c>
      <c r="K73" s="2"/>
    </row>
    <row r="74" spans="6:13" x14ac:dyDescent="0.25">
      <c r="F74" t="s">
        <v>1</v>
      </c>
      <c r="G74" s="2">
        <v>1100</v>
      </c>
      <c r="H74" s="2">
        <v>1100</v>
      </c>
      <c r="I74" s="2"/>
      <c r="J74" s="2"/>
      <c r="K74" s="2"/>
    </row>
    <row r="75" spans="6:13" x14ac:dyDescent="0.25">
      <c r="F75" t="s">
        <v>2</v>
      </c>
      <c r="G75" s="2">
        <v>3000</v>
      </c>
      <c r="H75" s="2">
        <v>3000</v>
      </c>
      <c r="I75" s="2"/>
      <c r="J75" s="2"/>
      <c r="K75" s="2"/>
    </row>
    <row r="76" spans="6:13" x14ac:dyDescent="0.25">
      <c r="F76" t="s">
        <v>3</v>
      </c>
      <c r="G76" s="2">
        <v>500</v>
      </c>
      <c r="H76" s="2">
        <v>500</v>
      </c>
      <c r="I76" s="2"/>
      <c r="J76" s="2"/>
      <c r="K76" s="2"/>
    </row>
    <row r="77" spans="6:13" x14ac:dyDescent="0.25">
      <c r="F77" t="s">
        <v>4</v>
      </c>
      <c r="G77" s="2">
        <v>700</v>
      </c>
      <c r="H77" s="2"/>
      <c r="I77" s="2"/>
      <c r="J77" s="2"/>
      <c r="K77" s="2"/>
    </row>
    <row r="78" spans="6:13" x14ac:dyDescent="0.25">
      <c r="F78" t="s">
        <v>5</v>
      </c>
      <c r="G78" s="2">
        <v>3000</v>
      </c>
      <c r="H78" s="2"/>
      <c r="I78" s="2"/>
      <c r="J78" s="2"/>
      <c r="K78" s="2"/>
    </row>
    <row r="79" spans="6:13" x14ac:dyDescent="0.25">
      <c r="F79" s="1" t="s">
        <v>11</v>
      </c>
      <c r="G79" s="3">
        <f>SUM(G72:G78)</f>
        <v>11300</v>
      </c>
      <c r="H79" s="3">
        <f>SUM(H72:H78)</f>
        <v>7600</v>
      </c>
      <c r="I79" s="3">
        <f>SUM(I72:I78)</f>
        <v>3000</v>
      </c>
      <c r="J79" s="3">
        <f>SUM(J72:J78)</f>
        <v>3000</v>
      </c>
      <c r="K79" s="3">
        <f>SUM(K72:K78)</f>
        <v>0</v>
      </c>
    </row>
    <row r="80" spans="6:13" x14ac:dyDescent="0.25">
      <c r="G80" s="2"/>
      <c r="H80" s="2"/>
      <c r="I80" s="2"/>
      <c r="J80" s="2"/>
      <c r="K80" s="2"/>
    </row>
    <row r="81" spans="6:13" x14ac:dyDescent="0.25">
      <c r="F81" t="s">
        <v>13</v>
      </c>
      <c r="G81" s="2">
        <v>-7000</v>
      </c>
      <c r="H81" s="2">
        <v>-5000</v>
      </c>
      <c r="I81" s="2">
        <v>-5000</v>
      </c>
      <c r="J81" s="2">
        <v>-5000</v>
      </c>
      <c r="K81" s="2">
        <v>-5000</v>
      </c>
    </row>
    <row r="82" spans="6:13" x14ac:dyDescent="0.25">
      <c r="F82" t="s">
        <v>16</v>
      </c>
      <c r="G82" s="2">
        <v>-1000</v>
      </c>
      <c r="H82" s="2">
        <v>-1000</v>
      </c>
      <c r="I82" s="2">
        <v>-1000</v>
      </c>
      <c r="J82" s="2">
        <v>-1000</v>
      </c>
      <c r="K82" s="2">
        <v>-1000</v>
      </c>
    </row>
    <row r="83" spans="6:13" x14ac:dyDescent="0.25">
      <c r="F83" t="s">
        <v>18</v>
      </c>
      <c r="G83" s="2">
        <f>0.22*G81</f>
        <v>-1540</v>
      </c>
      <c r="H83" s="2">
        <f>0.22*H81</f>
        <v>-1100</v>
      </c>
      <c r="I83" s="2">
        <f>0.22*I81</f>
        <v>-1100</v>
      </c>
      <c r="J83" s="2">
        <f>0.22*J81</f>
        <v>-1100</v>
      </c>
      <c r="K83" s="2">
        <f>0.22*K81</f>
        <v>-1100</v>
      </c>
    </row>
    <row r="84" spans="6:13" x14ac:dyDescent="0.25">
      <c r="G84" s="2"/>
      <c r="H84" s="2"/>
      <c r="I84" s="2"/>
      <c r="J84" s="2"/>
      <c r="K84" s="2"/>
    </row>
    <row r="85" spans="6:13" x14ac:dyDescent="0.25">
      <c r="F85" t="s">
        <v>14</v>
      </c>
      <c r="G85" s="2">
        <v>-500</v>
      </c>
      <c r="H85" s="2">
        <v>-500</v>
      </c>
      <c r="I85" s="2">
        <v>-500</v>
      </c>
      <c r="J85" s="2">
        <v>-500</v>
      </c>
      <c r="K85" s="2">
        <v>-500</v>
      </c>
    </row>
    <row r="86" spans="6:13" x14ac:dyDescent="0.25">
      <c r="G86" s="2"/>
      <c r="H86" s="2"/>
      <c r="I86" s="2"/>
      <c r="J86" s="2"/>
      <c r="K86" s="2"/>
    </row>
    <row r="87" spans="6:13" x14ac:dyDescent="0.25">
      <c r="F87" s="1" t="s">
        <v>15</v>
      </c>
      <c r="G87" s="3">
        <f>SUM(G81:G86)</f>
        <v>-10040</v>
      </c>
      <c r="H87" s="3">
        <f>SUM(H81:H86)</f>
        <v>-7600</v>
      </c>
      <c r="I87" s="3">
        <f>SUM(I81:I86)</f>
        <v>-7600</v>
      </c>
      <c r="J87" s="3">
        <f>SUM(J81:J86)</f>
        <v>-7600</v>
      </c>
      <c r="K87" s="3">
        <f>SUM(K81:K86)</f>
        <v>-7600</v>
      </c>
    </row>
    <row r="88" spans="6:13" x14ac:dyDescent="0.25">
      <c r="G88" s="2"/>
      <c r="H88" s="2"/>
      <c r="I88" s="2"/>
      <c r="J88" s="2"/>
      <c r="K88" s="2"/>
    </row>
    <row r="89" spans="6:13" ht="15.75" x14ac:dyDescent="0.25">
      <c r="F89" s="6" t="s">
        <v>17</v>
      </c>
      <c r="G89" s="7">
        <f>G79+G87</f>
        <v>1260</v>
      </c>
      <c r="H89" s="7">
        <f>H79+H87</f>
        <v>0</v>
      </c>
      <c r="I89" s="7">
        <f>I79+I87</f>
        <v>-4600</v>
      </c>
      <c r="J89" s="7">
        <f>J79+J87</f>
        <v>-4600</v>
      </c>
      <c r="K89" s="7">
        <f>K79+K87</f>
        <v>-7600</v>
      </c>
      <c r="M89" s="2">
        <f>SUM(G89:L89)</f>
        <v>-15540</v>
      </c>
    </row>
  </sheetData>
  <sheetProtection sheet="1" objects="1" scenarios="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01EA-6E48-4161-BC10-21E0771D941E}">
  <dimension ref="E4:M89"/>
  <sheetViews>
    <sheetView tabSelected="1" workbookViewId="0">
      <selection activeCell="N19" sqref="N19"/>
    </sheetView>
  </sheetViews>
  <sheetFormatPr defaultRowHeight="15" x14ac:dyDescent="0.25"/>
  <cols>
    <col min="6" max="6" width="24.140625" customWidth="1"/>
    <col min="7" max="7" width="25.42578125" customWidth="1"/>
  </cols>
  <sheetData>
    <row r="4" spans="6:12" x14ac:dyDescent="0.25">
      <c r="F4" s="1" t="s">
        <v>19</v>
      </c>
    </row>
    <row r="5" spans="6:12" x14ac:dyDescent="0.25">
      <c r="G5" s="5" t="s">
        <v>12</v>
      </c>
      <c r="H5" s="5" t="s">
        <v>7</v>
      </c>
      <c r="I5" s="5" t="s">
        <v>8</v>
      </c>
      <c r="J5" s="5" t="s">
        <v>9</v>
      </c>
      <c r="K5" s="5" t="s">
        <v>10</v>
      </c>
    </row>
    <row r="6" spans="6:12" x14ac:dyDescent="0.25">
      <c r="F6" t="s">
        <v>0</v>
      </c>
      <c r="G6" s="2">
        <v>1000</v>
      </c>
      <c r="H6" s="2">
        <v>1000</v>
      </c>
      <c r="I6" s="2">
        <v>1000</v>
      </c>
      <c r="J6" s="2">
        <v>1000</v>
      </c>
      <c r="K6" s="2">
        <v>1000</v>
      </c>
      <c r="L6" s="2"/>
    </row>
    <row r="7" spans="6:12" x14ac:dyDescent="0.25">
      <c r="F7" t="s">
        <v>6</v>
      </c>
      <c r="G7" s="2">
        <v>2000</v>
      </c>
      <c r="H7" s="2">
        <v>2000</v>
      </c>
      <c r="I7" s="2">
        <v>2000</v>
      </c>
      <c r="J7" s="2">
        <v>2000</v>
      </c>
      <c r="K7" s="2">
        <v>2000</v>
      </c>
      <c r="L7" s="2"/>
    </row>
    <row r="8" spans="6:12" x14ac:dyDescent="0.25">
      <c r="F8" t="s">
        <v>1</v>
      </c>
      <c r="G8" s="2">
        <v>1100</v>
      </c>
      <c r="H8" s="2">
        <v>1100</v>
      </c>
      <c r="I8" s="2">
        <v>1100</v>
      </c>
      <c r="J8" s="2">
        <v>1100</v>
      </c>
      <c r="K8" s="2">
        <v>1100</v>
      </c>
      <c r="L8" s="2"/>
    </row>
    <row r="9" spans="6:12" x14ac:dyDescent="0.25">
      <c r="F9" t="s">
        <v>2</v>
      </c>
      <c r="G9" s="2">
        <v>3000</v>
      </c>
      <c r="H9" s="2">
        <v>3000</v>
      </c>
      <c r="I9" s="2">
        <v>3000</v>
      </c>
      <c r="J9" s="2">
        <v>3000</v>
      </c>
      <c r="K9" s="2">
        <v>3000</v>
      </c>
      <c r="L9" s="2"/>
    </row>
    <row r="10" spans="6:12" x14ac:dyDescent="0.25">
      <c r="F10" t="s">
        <v>3</v>
      </c>
      <c r="G10" s="2">
        <v>500</v>
      </c>
      <c r="H10" s="2">
        <v>400</v>
      </c>
      <c r="I10" s="2">
        <v>700</v>
      </c>
      <c r="J10" s="2">
        <v>900</v>
      </c>
      <c r="K10" s="2">
        <v>1000</v>
      </c>
      <c r="L10" s="2"/>
    </row>
    <row r="11" spans="6:12" x14ac:dyDescent="0.25">
      <c r="F11" t="s">
        <v>4</v>
      </c>
      <c r="G11" s="2">
        <v>700</v>
      </c>
      <c r="H11" s="2"/>
      <c r="I11" s="2"/>
      <c r="J11" s="2"/>
      <c r="K11" s="2"/>
      <c r="L11" s="2"/>
    </row>
    <row r="12" spans="6:12" x14ac:dyDescent="0.25">
      <c r="F12" t="s">
        <v>5</v>
      </c>
      <c r="G12" s="2">
        <v>1800</v>
      </c>
      <c r="H12" s="2"/>
      <c r="I12" s="2"/>
      <c r="J12" s="2"/>
      <c r="K12" s="2"/>
      <c r="L12" s="2"/>
    </row>
    <row r="13" spans="6:12" x14ac:dyDescent="0.25">
      <c r="F13" s="1" t="s">
        <v>11</v>
      </c>
      <c r="G13" s="3">
        <f>SUM(G6:G12)</f>
        <v>10100</v>
      </c>
      <c r="H13" s="3">
        <f>SUM(H6:H12)</f>
        <v>7500</v>
      </c>
      <c r="I13" s="3">
        <f>SUM(I6:I12)</f>
        <v>7800</v>
      </c>
      <c r="J13" s="3">
        <f>SUM(J6:J12)</f>
        <v>8000</v>
      </c>
      <c r="K13" s="3">
        <f>SUM(K6:K12)</f>
        <v>8100</v>
      </c>
      <c r="L13" s="2"/>
    </row>
    <row r="14" spans="6:12" x14ac:dyDescent="0.25">
      <c r="G14" s="2"/>
      <c r="H14" s="2"/>
      <c r="I14" s="2"/>
      <c r="J14" s="2"/>
      <c r="K14" s="2"/>
      <c r="L14" s="2"/>
    </row>
    <row r="15" spans="6:12" x14ac:dyDescent="0.25">
      <c r="F15" t="s">
        <v>13</v>
      </c>
      <c r="G15" s="2">
        <v>-7000</v>
      </c>
      <c r="H15" s="2">
        <v>-5000</v>
      </c>
      <c r="I15" s="2">
        <v>-5150</v>
      </c>
      <c r="J15" s="2">
        <v>-5300</v>
      </c>
      <c r="K15" s="2">
        <v>-5450</v>
      </c>
      <c r="L15" s="2"/>
    </row>
    <row r="16" spans="6:12" x14ac:dyDescent="0.25">
      <c r="F16" t="s">
        <v>16</v>
      </c>
      <c r="G16" s="2">
        <v>-1000</v>
      </c>
      <c r="H16" s="2">
        <v>-1000</v>
      </c>
      <c r="I16" s="2">
        <v>-1000</v>
      </c>
      <c r="J16" s="2">
        <v>-1000</v>
      </c>
      <c r="K16" s="2">
        <v>-1000</v>
      </c>
      <c r="L16" s="2"/>
    </row>
    <row r="17" spans="5:13" x14ac:dyDescent="0.25">
      <c r="E17" s="4">
        <v>0.22</v>
      </c>
      <c r="F17" t="s">
        <v>18</v>
      </c>
      <c r="G17" s="2">
        <f>0.22*G15</f>
        <v>-1540</v>
      </c>
      <c r="H17" s="2">
        <f>0.22*H15</f>
        <v>-1100</v>
      </c>
      <c r="I17" s="2">
        <f>0.22*I15</f>
        <v>-1133</v>
      </c>
      <c r="J17" s="2">
        <f>0.22*J15</f>
        <v>-1166</v>
      </c>
      <c r="K17" s="2">
        <f>0.22*K15</f>
        <v>-1199</v>
      </c>
      <c r="L17" s="2"/>
    </row>
    <row r="18" spans="5:13" x14ac:dyDescent="0.25">
      <c r="G18" s="2"/>
      <c r="H18" s="2"/>
      <c r="I18" s="2"/>
      <c r="J18" s="2"/>
      <c r="K18" s="2"/>
      <c r="L18" s="2"/>
    </row>
    <row r="19" spans="5:13" x14ac:dyDescent="0.25">
      <c r="F19" t="s">
        <v>14</v>
      </c>
      <c r="G19" s="2">
        <v>-500</v>
      </c>
      <c r="H19" s="2">
        <v>-500</v>
      </c>
      <c r="I19" s="2">
        <v>-500</v>
      </c>
      <c r="J19" s="2">
        <v>-500</v>
      </c>
      <c r="K19" s="2">
        <v>-500</v>
      </c>
      <c r="L19" s="2"/>
    </row>
    <row r="20" spans="5:13" x14ac:dyDescent="0.25">
      <c r="G20" s="2"/>
      <c r="H20" s="2"/>
      <c r="I20" s="2"/>
      <c r="J20" s="2"/>
      <c r="K20" s="2"/>
      <c r="L20" s="2"/>
    </row>
    <row r="21" spans="5:13" x14ac:dyDescent="0.25">
      <c r="F21" s="1" t="s">
        <v>15</v>
      </c>
      <c r="G21" s="3">
        <f>SUM(G15:G20)</f>
        <v>-10040</v>
      </c>
      <c r="H21" s="3">
        <f>SUM(H15:H20)</f>
        <v>-7600</v>
      </c>
      <c r="I21" s="3">
        <f>SUM(I15:I20)</f>
        <v>-7783</v>
      </c>
      <c r="J21" s="3">
        <f>SUM(J15:J20)</f>
        <v>-7966</v>
      </c>
      <c r="K21" s="3">
        <f>SUM(K15:K20)</f>
        <v>-8149</v>
      </c>
      <c r="L21" s="3"/>
      <c r="M21" s="1"/>
    </row>
    <row r="22" spans="5:13" x14ac:dyDescent="0.25">
      <c r="G22" s="2"/>
      <c r="H22" s="2"/>
      <c r="I22" s="2"/>
      <c r="J22" s="2"/>
      <c r="K22" s="2"/>
      <c r="L22" s="2"/>
    </row>
    <row r="23" spans="5:13" ht="15.75" x14ac:dyDescent="0.25">
      <c r="F23" s="6" t="s">
        <v>17</v>
      </c>
      <c r="G23" s="7">
        <f>G13+G21</f>
        <v>60</v>
      </c>
      <c r="H23" s="7">
        <f>H13+H21</f>
        <v>-100</v>
      </c>
      <c r="I23" s="7">
        <f>I13+I21</f>
        <v>17</v>
      </c>
      <c r="J23" s="7">
        <f>J13+J21</f>
        <v>34</v>
      </c>
      <c r="K23" s="7">
        <f>K13+K21</f>
        <v>-49</v>
      </c>
      <c r="L23" s="2"/>
      <c r="M23" s="2">
        <f>SUM(G23:L23)</f>
        <v>-38</v>
      </c>
    </row>
    <row r="24" spans="5:13" x14ac:dyDescent="0.25">
      <c r="G24" s="2"/>
      <c r="H24" s="2"/>
      <c r="I24" s="2"/>
      <c r="J24" s="2"/>
      <c r="K24" s="2"/>
      <c r="L24" s="2"/>
    </row>
    <row r="25" spans="5:13" x14ac:dyDescent="0.25">
      <c r="G25" s="2"/>
      <c r="H25" s="2"/>
      <c r="I25" s="2"/>
      <c r="J25" s="2"/>
      <c r="K25" s="2"/>
      <c r="L25" s="2"/>
    </row>
    <row r="26" spans="5:13" x14ac:dyDescent="0.25">
      <c r="F26" s="1" t="s">
        <v>20</v>
      </c>
      <c r="L26" s="2"/>
    </row>
    <row r="27" spans="5:13" x14ac:dyDescent="0.25">
      <c r="G27" s="5" t="s">
        <v>12</v>
      </c>
      <c r="H27" s="5" t="s">
        <v>7</v>
      </c>
      <c r="I27" s="5" t="s">
        <v>8</v>
      </c>
      <c r="J27" s="5" t="s">
        <v>9</v>
      </c>
      <c r="K27" s="5" t="s">
        <v>10</v>
      </c>
      <c r="L27" s="2"/>
    </row>
    <row r="28" spans="5:13" x14ac:dyDescent="0.25">
      <c r="F28" t="s">
        <v>0</v>
      </c>
      <c r="G28" s="2">
        <v>1000</v>
      </c>
      <c r="H28" s="2">
        <v>1000</v>
      </c>
      <c r="I28" s="2">
        <v>1000</v>
      </c>
      <c r="J28" s="2">
        <v>1000</v>
      </c>
      <c r="K28" s="2">
        <v>1000</v>
      </c>
      <c r="L28" s="2"/>
    </row>
    <row r="29" spans="5:13" x14ac:dyDescent="0.25">
      <c r="F29" t="s">
        <v>6</v>
      </c>
      <c r="G29" s="2">
        <v>2000</v>
      </c>
      <c r="H29" s="2">
        <v>2000</v>
      </c>
      <c r="I29" s="2">
        <v>2000</v>
      </c>
      <c r="J29" s="2">
        <v>2000</v>
      </c>
      <c r="K29" s="2">
        <v>2000</v>
      </c>
      <c r="L29" s="2"/>
    </row>
    <row r="30" spans="5:13" x14ac:dyDescent="0.25">
      <c r="F30" t="s">
        <v>1</v>
      </c>
      <c r="G30" s="2">
        <v>1100</v>
      </c>
      <c r="H30" s="2">
        <v>1100</v>
      </c>
      <c r="I30" s="2">
        <v>1100</v>
      </c>
      <c r="J30" s="2">
        <v>1100</v>
      </c>
      <c r="K30" s="2">
        <v>1100</v>
      </c>
      <c r="L30" s="2"/>
    </row>
    <row r="31" spans="5:13" x14ac:dyDescent="0.25">
      <c r="F31" t="s">
        <v>2</v>
      </c>
      <c r="G31" s="2">
        <v>3000</v>
      </c>
      <c r="H31" s="2">
        <v>3000</v>
      </c>
      <c r="I31" s="2">
        <v>3000</v>
      </c>
      <c r="J31" s="2">
        <v>3000</v>
      </c>
      <c r="K31" s="2"/>
      <c r="L31" s="2"/>
    </row>
    <row r="32" spans="5:13" x14ac:dyDescent="0.25">
      <c r="F32" t="s">
        <v>3</v>
      </c>
      <c r="G32" s="2">
        <v>500</v>
      </c>
      <c r="H32" s="2">
        <v>500</v>
      </c>
      <c r="I32" s="2">
        <v>500</v>
      </c>
      <c r="J32" s="2"/>
      <c r="K32" s="2"/>
      <c r="L32" s="2"/>
    </row>
    <row r="33" spans="6:13" x14ac:dyDescent="0.25">
      <c r="F33" t="s">
        <v>4</v>
      </c>
      <c r="G33" s="2">
        <v>700</v>
      </c>
      <c r="H33" s="2"/>
      <c r="I33" s="2"/>
      <c r="J33" s="2"/>
      <c r="K33" s="2"/>
      <c r="L33" s="2"/>
    </row>
    <row r="34" spans="6:13" x14ac:dyDescent="0.25">
      <c r="F34" t="s">
        <v>5</v>
      </c>
      <c r="G34" s="2">
        <v>3000</v>
      </c>
      <c r="H34" s="2"/>
      <c r="I34" s="2"/>
      <c r="J34" s="2"/>
      <c r="K34" s="2"/>
      <c r="L34" s="2"/>
    </row>
    <row r="35" spans="6:13" x14ac:dyDescent="0.25">
      <c r="F35" s="1" t="s">
        <v>11</v>
      </c>
      <c r="G35" s="3">
        <f>SUM(G28:G34)</f>
        <v>11300</v>
      </c>
      <c r="H35" s="3">
        <f>SUM(H28:H34)</f>
        <v>7600</v>
      </c>
      <c r="I35" s="3">
        <f>SUM(I28:I34)</f>
        <v>7600</v>
      </c>
      <c r="J35" s="3">
        <f>SUM(J28:J34)</f>
        <v>7100</v>
      </c>
      <c r="K35" s="3">
        <f>SUM(K28:K34)</f>
        <v>4100</v>
      </c>
    </row>
    <row r="36" spans="6:13" x14ac:dyDescent="0.25">
      <c r="G36" s="2"/>
      <c r="H36" s="2"/>
      <c r="I36" s="2"/>
      <c r="J36" s="2"/>
      <c r="K36" s="2"/>
    </row>
    <row r="37" spans="6:13" x14ac:dyDescent="0.25">
      <c r="F37" t="s">
        <v>13</v>
      </c>
      <c r="G37" s="2">
        <v>-7000</v>
      </c>
      <c r="H37" s="2">
        <v>-5000</v>
      </c>
      <c r="I37" s="2">
        <v>-5000</v>
      </c>
      <c r="J37" s="2">
        <v>-5000</v>
      </c>
      <c r="K37" s="2">
        <v>-5000</v>
      </c>
    </row>
    <row r="38" spans="6:13" x14ac:dyDescent="0.25">
      <c r="F38" t="s">
        <v>16</v>
      </c>
      <c r="G38" s="2">
        <v>-1000</v>
      </c>
      <c r="H38" s="2">
        <v>-1000</v>
      </c>
      <c r="I38" s="2">
        <v>-1000</v>
      </c>
      <c r="J38" s="2">
        <v>-1000</v>
      </c>
      <c r="K38" s="2">
        <v>-1000</v>
      </c>
    </row>
    <row r="39" spans="6:13" x14ac:dyDescent="0.25">
      <c r="F39" t="s">
        <v>18</v>
      </c>
      <c r="G39" s="2">
        <f>0.22*G37</f>
        <v>-1540</v>
      </c>
      <c r="H39" s="2">
        <f>0.22*H37</f>
        <v>-1100</v>
      </c>
      <c r="I39" s="2">
        <f>0.22*I37</f>
        <v>-1100</v>
      </c>
      <c r="J39" s="2">
        <f>0.22*J37</f>
        <v>-1100</v>
      </c>
      <c r="K39" s="2">
        <f>0.22*K37</f>
        <v>-1100</v>
      </c>
    </row>
    <row r="40" spans="6:13" x14ac:dyDescent="0.25">
      <c r="G40" s="2"/>
      <c r="H40" s="2"/>
      <c r="I40" s="2"/>
      <c r="J40" s="2"/>
      <c r="K40" s="2"/>
    </row>
    <row r="41" spans="6:13" x14ac:dyDescent="0.25">
      <c r="F41" t="s">
        <v>14</v>
      </c>
      <c r="G41" s="2">
        <v>-500</v>
      </c>
      <c r="H41" s="2">
        <v>-500</v>
      </c>
      <c r="I41" s="2">
        <v>-500</v>
      </c>
      <c r="J41" s="2">
        <v>-500</v>
      </c>
      <c r="K41" s="2">
        <v>-500</v>
      </c>
    </row>
    <row r="42" spans="6:13" x14ac:dyDescent="0.25">
      <c r="G42" s="2"/>
      <c r="H42" s="2"/>
      <c r="I42" s="2"/>
      <c r="J42" s="2"/>
      <c r="K42" s="2"/>
    </row>
    <row r="43" spans="6:13" x14ac:dyDescent="0.25">
      <c r="F43" s="1" t="s">
        <v>15</v>
      </c>
      <c r="G43" s="3">
        <f>SUM(G37:G42)</f>
        <v>-10040</v>
      </c>
      <c r="H43" s="3">
        <f>SUM(H37:H42)</f>
        <v>-7600</v>
      </c>
      <c r="I43" s="3">
        <f>SUM(I37:I42)</f>
        <v>-7600</v>
      </c>
      <c r="J43" s="3">
        <f>SUM(J37:J42)</f>
        <v>-7600</v>
      </c>
      <c r="K43" s="3">
        <f>SUM(K37:K42)</f>
        <v>-7600</v>
      </c>
    </row>
    <row r="44" spans="6:13" x14ac:dyDescent="0.25">
      <c r="G44" s="2"/>
      <c r="H44" s="2"/>
      <c r="I44" s="2"/>
      <c r="J44" s="2"/>
      <c r="K44" s="2"/>
    </row>
    <row r="45" spans="6:13" ht="15.75" x14ac:dyDescent="0.25">
      <c r="F45" s="6" t="s">
        <v>17</v>
      </c>
      <c r="G45" s="7">
        <f>G35+G43</f>
        <v>1260</v>
      </c>
      <c r="H45" s="7">
        <f>H35+H43</f>
        <v>0</v>
      </c>
      <c r="I45" s="7">
        <f>I35+I43</f>
        <v>0</v>
      </c>
      <c r="J45" s="7">
        <f>J35+J43</f>
        <v>-500</v>
      </c>
      <c r="K45" s="7">
        <f>K35+K43</f>
        <v>-3500</v>
      </c>
      <c r="M45" s="2">
        <f>SUM(G45:L45)</f>
        <v>-2740</v>
      </c>
    </row>
    <row r="48" spans="6:13" x14ac:dyDescent="0.25">
      <c r="F48" s="1" t="s">
        <v>21</v>
      </c>
    </row>
    <row r="49" spans="6:11" x14ac:dyDescent="0.25">
      <c r="G49" s="5" t="s">
        <v>12</v>
      </c>
      <c r="H49" s="5" t="s">
        <v>7</v>
      </c>
      <c r="I49" s="5" t="s">
        <v>8</v>
      </c>
      <c r="J49" s="5" t="s">
        <v>9</v>
      </c>
      <c r="K49" s="5" t="s">
        <v>10</v>
      </c>
    </row>
    <row r="50" spans="6:11" x14ac:dyDescent="0.25">
      <c r="F50" t="s">
        <v>0</v>
      </c>
      <c r="G50" s="2">
        <v>1000</v>
      </c>
      <c r="H50" s="2">
        <v>1000</v>
      </c>
      <c r="I50" s="2">
        <v>1000</v>
      </c>
      <c r="J50" s="2">
        <v>1000</v>
      </c>
      <c r="K50" s="2">
        <v>1000</v>
      </c>
    </row>
    <row r="51" spans="6:11" x14ac:dyDescent="0.25">
      <c r="F51" t="s">
        <v>6</v>
      </c>
      <c r="G51" s="2">
        <v>2000</v>
      </c>
      <c r="H51" s="2">
        <v>2000</v>
      </c>
      <c r="I51" s="2">
        <v>2000</v>
      </c>
      <c r="J51" s="2">
        <v>2000</v>
      </c>
      <c r="K51" s="2">
        <v>2000</v>
      </c>
    </row>
    <row r="52" spans="6:11" x14ac:dyDescent="0.25">
      <c r="F52" t="s">
        <v>1</v>
      </c>
      <c r="G52" s="2">
        <v>1100</v>
      </c>
      <c r="H52" s="2">
        <v>1100</v>
      </c>
      <c r="I52" s="2">
        <v>1100</v>
      </c>
      <c r="J52" s="2">
        <v>1100</v>
      </c>
      <c r="K52" s="2"/>
    </row>
    <row r="53" spans="6:11" x14ac:dyDescent="0.25">
      <c r="F53" t="s">
        <v>2</v>
      </c>
      <c r="G53" s="2">
        <v>3000</v>
      </c>
      <c r="H53" s="2">
        <v>3000</v>
      </c>
      <c r="I53" s="2">
        <v>3000</v>
      </c>
      <c r="J53" s="2"/>
      <c r="K53" s="2"/>
    </row>
    <row r="54" spans="6:11" x14ac:dyDescent="0.25">
      <c r="F54" t="s">
        <v>3</v>
      </c>
      <c r="G54" s="2">
        <v>500</v>
      </c>
      <c r="H54" s="2">
        <v>500</v>
      </c>
      <c r="I54" s="2">
        <v>500</v>
      </c>
      <c r="J54" s="2">
        <v>500</v>
      </c>
      <c r="K54" s="2"/>
    </row>
    <row r="55" spans="6:11" x14ac:dyDescent="0.25">
      <c r="F55" t="s">
        <v>4</v>
      </c>
      <c r="G55" s="2">
        <v>700</v>
      </c>
      <c r="H55" s="2"/>
      <c r="I55" s="2"/>
      <c r="J55" s="2"/>
      <c r="K55" s="2"/>
    </row>
    <row r="56" spans="6:11" x14ac:dyDescent="0.25">
      <c r="F56" t="s">
        <v>5</v>
      </c>
      <c r="G56" s="2">
        <v>3000</v>
      </c>
      <c r="H56" s="2"/>
      <c r="I56" s="2"/>
      <c r="J56" s="2"/>
      <c r="K56" s="2"/>
    </row>
    <row r="57" spans="6:11" x14ac:dyDescent="0.25">
      <c r="F57" s="1" t="s">
        <v>11</v>
      </c>
      <c r="G57" s="3">
        <f>SUM(G50:G56)</f>
        <v>11300</v>
      </c>
      <c r="H57" s="3">
        <f>SUM(H50:H56)</f>
        <v>7600</v>
      </c>
      <c r="I57" s="3">
        <f>SUM(I50:I56)</f>
        <v>7600</v>
      </c>
      <c r="J57" s="3">
        <f>SUM(J50:J56)</f>
        <v>4600</v>
      </c>
      <c r="K57" s="3">
        <f>SUM(K50:K56)</f>
        <v>3000</v>
      </c>
    </row>
    <row r="58" spans="6:11" x14ac:dyDescent="0.25">
      <c r="G58" s="2"/>
      <c r="H58" s="2"/>
      <c r="I58" s="2"/>
      <c r="J58" s="2"/>
      <c r="K58" s="2"/>
    </row>
    <row r="59" spans="6:11" x14ac:dyDescent="0.25">
      <c r="F59" t="s">
        <v>13</v>
      </c>
      <c r="G59" s="2">
        <v>-7000</v>
      </c>
      <c r="H59" s="2">
        <v>-5000</v>
      </c>
      <c r="I59" s="2">
        <v>-5000</v>
      </c>
      <c r="J59" s="2">
        <v>-5000</v>
      </c>
      <c r="K59" s="2">
        <v>-5000</v>
      </c>
    </row>
    <row r="60" spans="6:11" x14ac:dyDescent="0.25">
      <c r="F60" t="s">
        <v>16</v>
      </c>
      <c r="G60" s="2">
        <v>-1000</v>
      </c>
      <c r="H60" s="2">
        <v>-1000</v>
      </c>
      <c r="I60" s="2">
        <v>-1000</v>
      </c>
      <c r="J60" s="2">
        <v>-1000</v>
      </c>
      <c r="K60" s="2">
        <v>-1000</v>
      </c>
    </row>
    <row r="61" spans="6:11" x14ac:dyDescent="0.25">
      <c r="F61" t="s">
        <v>18</v>
      </c>
      <c r="G61" s="2">
        <f>0.22*G59</f>
        <v>-1540</v>
      </c>
      <c r="H61" s="2">
        <f>0.22*H59</f>
        <v>-1100</v>
      </c>
      <c r="I61" s="2">
        <f>0.22*I59</f>
        <v>-1100</v>
      </c>
      <c r="J61" s="2">
        <f>0.22*J59</f>
        <v>-1100</v>
      </c>
      <c r="K61" s="2">
        <f>0.22*K59</f>
        <v>-1100</v>
      </c>
    </row>
    <row r="62" spans="6:11" x14ac:dyDescent="0.25">
      <c r="G62" s="2"/>
      <c r="H62" s="2"/>
      <c r="I62" s="2"/>
      <c r="J62" s="2"/>
      <c r="K62" s="2"/>
    </row>
    <row r="63" spans="6:11" x14ac:dyDescent="0.25">
      <c r="F63" t="s">
        <v>14</v>
      </c>
      <c r="G63" s="2">
        <v>-500</v>
      </c>
      <c r="H63" s="2">
        <v>-500</v>
      </c>
      <c r="I63" s="2">
        <v>-500</v>
      </c>
      <c r="J63" s="2">
        <v>-500</v>
      </c>
      <c r="K63" s="2">
        <v>-500</v>
      </c>
    </row>
    <row r="64" spans="6:11" x14ac:dyDescent="0.25">
      <c r="G64" s="2"/>
      <c r="H64" s="2"/>
      <c r="I64" s="2"/>
      <c r="J64" s="2"/>
      <c r="K64" s="2"/>
    </row>
    <row r="65" spans="6:13" x14ac:dyDescent="0.25">
      <c r="F65" s="1" t="s">
        <v>15</v>
      </c>
      <c r="G65" s="3">
        <f>SUM(G59:G64)</f>
        <v>-10040</v>
      </c>
      <c r="H65" s="3">
        <f>SUM(H59:H64)</f>
        <v>-7600</v>
      </c>
      <c r="I65" s="3">
        <f>SUM(I59:I64)</f>
        <v>-7600</v>
      </c>
      <c r="J65" s="3">
        <f>SUM(J59:J64)</f>
        <v>-7600</v>
      </c>
      <c r="K65" s="3">
        <f>SUM(K59:K64)</f>
        <v>-7600</v>
      </c>
    </row>
    <row r="66" spans="6:13" x14ac:dyDescent="0.25">
      <c r="G66" s="2"/>
      <c r="H66" s="2"/>
      <c r="I66" s="2"/>
      <c r="J66" s="2"/>
      <c r="K66" s="2"/>
    </row>
    <row r="67" spans="6:13" x14ac:dyDescent="0.25">
      <c r="F67" t="s">
        <v>17</v>
      </c>
      <c r="G67" s="2">
        <f>G57+G65</f>
        <v>1260</v>
      </c>
      <c r="H67" s="2">
        <f>H57+H65</f>
        <v>0</v>
      </c>
      <c r="I67" s="2">
        <f>I57+I65</f>
        <v>0</v>
      </c>
      <c r="J67" s="2">
        <f>J57+J65</f>
        <v>-3000</v>
      </c>
      <c r="K67" s="2">
        <f>K57+K65</f>
        <v>-4600</v>
      </c>
      <c r="M67" s="2">
        <f>SUM(G67:L67)</f>
        <v>-6340</v>
      </c>
    </row>
    <row r="70" spans="6:13" x14ac:dyDescent="0.25">
      <c r="F70" s="1" t="s">
        <v>22</v>
      </c>
    </row>
    <row r="71" spans="6:13" x14ac:dyDescent="0.25">
      <c r="G71" s="5" t="s">
        <v>12</v>
      </c>
      <c r="H71" s="5" t="s">
        <v>7</v>
      </c>
      <c r="I71" s="5" t="s">
        <v>8</v>
      </c>
      <c r="J71" s="5" t="s">
        <v>9</v>
      </c>
      <c r="K71" s="5" t="s">
        <v>10</v>
      </c>
    </row>
    <row r="72" spans="6:13" x14ac:dyDescent="0.25">
      <c r="F72" t="s">
        <v>0</v>
      </c>
      <c r="G72" s="2">
        <v>1000</v>
      </c>
      <c r="H72" s="2">
        <v>1000</v>
      </c>
      <c r="I72" s="2">
        <v>1000</v>
      </c>
      <c r="J72" s="2">
        <v>1000</v>
      </c>
      <c r="K72" s="2"/>
    </row>
    <row r="73" spans="6:13" x14ac:dyDescent="0.25">
      <c r="F73" t="s">
        <v>6</v>
      </c>
      <c r="G73" s="2">
        <v>2000</v>
      </c>
      <c r="H73" s="2">
        <v>2000</v>
      </c>
      <c r="I73" s="2">
        <v>2000</v>
      </c>
      <c r="J73" s="2">
        <v>2000</v>
      </c>
      <c r="K73" s="2"/>
    </row>
    <row r="74" spans="6:13" x14ac:dyDescent="0.25">
      <c r="F74" t="s">
        <v>1</v>
      </c>
      <c r="G74" s="2">
        <v>1100</v>
      </c>
      <c r="H74" s="2">
        <v>1100</v>
      </c>
      <c r="I74" s="2"/>
      <c r="J74" s="2"/>
      <c r="K74" s="2"/>
    </row>
    <row r="75" spans="6:13" x14ac:dyDescent="0.25">
      <c r="F75" t="s">
        <v>2</v>
      </c>
      <c r="G75" s="2">
        <v>3000</v>
      </c>
      <c r="H75" s="2">
        <v>3000</v>
      </c>
      <c r="I75" s="2"/>
      <c r="J75" s="2"/>
      <c r="K75" s="2"/>
    </row>
    <row r="76" spans="6:13" x14ac:dyDescent="0.25">
      <c r="F76" t="s">
        <v>3</v>
      </c>
      <c r="G76" s="2">
        <v>500</v>
      </c>
      <c r="H76" s="2">
        <v>500</v>
      </c>
      <c r="I76" s="2"/>
      <c r="J76" s="2"/>
      <c r="K76" s="2"/>
    </row>
    <row r="77" spans="6:13" x14ac:dyDescent="0.25">
      <c r="F77" t="s">
        <v>4</v>
      </c>
      <c r="G77" s="2">
        <v>700</v>
      </c>
      <c r="H77" s="2"/>
      <c r="I77" s="2"/>
      <c r="J77" s="2"/>
      <c r="K77" s="2"/>
    </row>
    <row r="78" spans="6:13" x14ac:dyDescent="0.25">
      <c r="F78" t="s">
        <v>5</v>
      </c>
      <c r="G78" s="2">
        <v>3000</v>
      </c>
      <c r="H78" s="2"/>
      <c r="I78" s="2"/>
      <c r="J78" s="2"/>
      <c r="K78" s="2"/>
    </row>
    <row r="79" spans="6:13" x14ac:dyDescent="0.25">
      <c r="F79" s="1" t="s">
        <v>11</v>
      </c>
      <c r="G79" s="3">
        <f>SUM(G72:G78)</f>
        <v>11300</v>
      </c>
      <c r="H79" s="3">
        <f>SUM(H72:H78)</f>
        <v>7600</v>
      </c>
      <c r="I79" s="3">
        <f>SUM(I72:I78)</f>
        <v>3000</v>
      </c>
      <c r="J79" s="3">
        <f>SUM(J72:J78)</f>
        <v>3000</v>
      </c>
      <c r="K79" s="3">
        <f>SUM(K72:K78)</f>
        <v>0</v>
      </c>
    </row>
    <row r="80" spans="6:13" x14ac:dyDescent="0.25">
      <c r="G80" s="2"/>
      <c r="H80" s="2"/>
      <c r="I80" s="2"/>
      <c r="J80" s="2"/>
      <c r="K80" s="2"/>
    </row>
    <row r="81" spans="6:13" x14ac:dyDescent="0.25">
      <c r="F81" t="s">
        <v>13</v>
      </c>
      <c r="G81" s="2">
        <v>-7000</v>
      </c>
      <c r="H81" s="2">
        <v>-5000</v>
      </c>
      <c r="I81" s="2">
        <v>-5000</v>
      </c>
      <c r="J81" s="2">
        <v>-5000</v>
      </c>
      <c r="K81" s="2">
        <v>-5000</v>
      </c>
    </row>
    <row r="82" spans="6:13" x14ac:dyDescent="0.25">
      <c r="F82" t="s">
        <v>16</v>
      </c>
      <c r="G82" s="2">
        <v>-1000</v>
      </c>
      <c r="H82" s="2">
        <v>-1000</v>
      </c>
      <c r="I82" s="2">
        <v>-1000</v>
      </c>
      <c r="J82" s="2">
        <v>-1000</v>
      </c>
      <c r="K82" s="2">
        <v>-1000</v>
      </c>
    </row>
    <row r="83" spans="6:13" x14ac:dyDescent="0.25">
      <c r="F83" t="s">
        <v>18</v>
      </c>
      <c r="G83" s="2">
        <f>0.22*G81</f>
        <v>-1540</v>
      </c>
      <c r="H83" s="2">
        <f>0.22*H81</f>
        <v>-1100</v>
      </c>
      <c r="I83" s="2">
        <f>0.22*I81</f>
        <v>-1100</v>
      </c>
      <c r="J83" s="2">
        <f>0.22*J81</f>
        <v>-1100</v>
      </c>
      <c r="K83" s="2">
        <f>0.22*K81</f>
        <v>-1100</v>
      </c>
    </row>
    <row r="84" spans="6:13" x14ac:dyDescent="0.25">
      <c r="G84" s="2"/>
      <c r="H84" s="2"/>
      <c r="I84" s="2"/>
      <c r="J84" s="2"/>
      <c r="K84" s="2"/>
    </row>
    <row r="85" spans="6:13" x14ac:dyDescent="0.25">
      <c r="F85" t="s">
        <v>14</v>
      </c>
      <c r="G85" s="2">
        <v>-500</v>
      </c>
      <c r="H85" s="2">
        <v>-500</v>
      </c>
      <c r="I85" s="2">
        <v>-500</v>
      </c>
      <c r="J85" s="2">
        <v>-500</v>
      </c>
      <c r="K85" s="2">
        <v>-500</v>
      </c>
    </row>
    <row r="86" spans="6:13" x14ac:dyDescent="0.25">
      <c r="G86" s="2"/>
      <c r="H86" s="2"/>
      <c r="I86" s="2"/>
      <c r="J86" s="2"/>
      <c r="K86" s="2"/>
    </row>
    <row r="87" spans="6:13" x14ac:dyDescent="0.25">
      <c r="F87" s="1" t="s">
        <v>15</v>
      </c>
      <c r="G87" s="3">
        <f>SUM(G81:G86)</f>
        <v>-10040</v>
      </c>
      <c r="H87" s="3">
        <f>SUM(H81:H86)</f>
        <v>-7600</v>
      </c>
      <c r="I87" s="3">
        <f>SUM(I81:I86)</f>
        <v>-7600</v>
      </c>
      <c r="J87" s="3">
        <f>SUM(J81:J86)</f>
        <v>-7600</v>
      </c>
      <c r="K87" s="3">
        <f>SUM(K81:K86)</f>
        <v>-7600</v>
      </c>
    </row>
    <row r="88" spans="6:13" x14ac:dyDescent="0.25">
      <c r="G88" s="2"/>
      <c r="H88" s="2"/>
      <c r="I88" s="2"/>
      <c r="J88" s="2"/>
      <c r="K88" s="2"/>
    </row>
    <row r="89" spans="6:13" ht="15.75" x14ac:dyDescent="0.25">
      <c r="F89" s="6" t="s">
        <v>17</v>
      </c>
      <c r="G89" s="7">
        <f>G79+G87</f>
        <v>1260</v>
      </c>
      <c r="H89" s="7">
        <f>H79+H87</f>
        <v>0</v>
      </c>
      <c r="I89" s="7">
        <f>I79+I87</f>
        <v>-4600</v>
      </c>
      <c r="J89" s="7">
        <f>J79+J87</f>
        <v>-4600</v>
      </c>
      <c r="K89" s="7">
        <f>K79+K87</f>
        <v>-7600</v>
      </c>
      <c r="M89" s="2">
        <f>SUM(G89:L89)</f>
        <v>-15540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8F04-3376-4E95-B7A8-1B1D55AB1EEB}">
  <dimension ref="D2:O89"/>
  <sheetViews>
    <sheetView workbookViewId="0">
      <selection activeCell="L23" sqref="L23"/>
    </sheetView>
  </sheetViews>
  <sheetFormatPr defaultRowHeight="15" x14ac:dyDescent="0.25"/>
  <cols>
    <col min="6" max="6" width="24.140625" customWidth="1"/>
    <col min="7" max="7" width="25.42578125" customWidth="1"/>
    <col min="8" max="8" width="14" customWidth="1"/>
  </cols>
  <sheetData>
    <row r="2" spans="6:11" ht="21" x14ac:dyDescent="0.35">
      <c r="F2" s="8" t="s">
        <v>23</v>
      </c>
    </row>
    <row r="4" spans="6:11" x14ac:dyDescent="0.25">
      <c r="F4" s="1" t="s">
        <v>19</v>
      </c>
    </row>
    <row r="5" spans="6:11" x14ac:dyDescent="0.25">
      <c r="G5" s="5" t="s">
        <v>7</v>
      </c>
      <c r="H5" s="5" t="s">
        <v>8</v>
      </c>
      <c r="I5" s="5" t="s">
        <v>9</v>
      </c>
      <c r="J5" s="5" t="s">
        <v>10</v>
      </c>
      <c r="K5" s="5" t="s">
        <v>24</v>
      </c>
    </row>
    <row r="6" spans="6:11" x14ac:dyDescent="0.25">
      <c r="F6" t="s">
        <v>0</v>
      </c>
      <c r="G6" s="2">
        <v>1000</v>
      </c>
      <c r="H6" s="2">
        <v>1000</v>
      </c>
      <c r="I6" s="2">
        <v>1000</v>
      </c>
      <c r="J6" s="2">
        <v>1000</v>
      </c>
      <c r="K6" s="2">
        <v>1000</v>
      </c>
    </row>
    <row r="7" spans="6:11" x14ac:dyDescent="0.25">
      <c r="F7" t="s">
        <v>6</v>
      </c>
      <c r="G7" s="2">
        <v>2000</v>
      </c>
      <c r="H7" s="2">
        <v>2000</v>
      </c>
      <c r="I7" s="2">
        <v>2000</v>
      </c>
      <c r="J7" s="2">
        <v>2000</v>
      </c>
      <c r="K7" s="2">
        <v>2000</v>
      </c>
    </row>
    <row r="8" spans="6:11" x14ac:dyDescent="0.25">
      <c r="F8" t="s">
        <v>1</v>
      </c>
      <c r="G8" s="2">
        <v>1100</v>
      </c>
      <c r="H8" s="2">
        <v>1100</v>
      </c>
      <c r="I8" s="2">
        <v>1100</v>
      </c>
      <c r="J8" s="2">
        <v>1100</v>
      </c>
      <c r="K8" s="2">
        <v>1100</v>
      </c>
    </row>
    <row r="9" spans="6:11" x14ac:dyDescent="0.25">
      <c r="F9" t="s">
        <v>2</v>
      </c>
      <c r="G9" s="2">
        <v>3000</v>
      </c>
      <c r="H9" s="2">
        <v>3000</v>
      </c>
      <c r="I9" s="2">
        <v>3000</v>
      </c>
      <c r="J9" s="2">
        <v>3000</v>
      </c>
      <c r="K9" s="2">
        <v>3000</v>
      </c>
    </row>
    <row r="10" spans="6:11" x14ac:dyDescent="0.25">
      <c r="F10" t="s">
        <v>3</v>
      </c>
      <c r="G10" s="2">
        <v>500</v>
      </c>
      <c r="H10" s="2">
        <v>500</v>
      </c>
      <c r="I10" s="2">
        <v>500</v>
      </c>
      <c r="J10" s="2">
        <v>500</v>
      </c>
      <c r="K10" s="2">
        <v>500</v>
      </c>
    </row>
    <row r="11" spans="6:11" x14ac:dyDescent="0.25">
      <c r="F11" t="s">
        <v>4</v>
      </c>
      <c r="G11" s="2"/>
      <c r="H11" s="2"/>
      <c r="I11" s="2"/>
      <c r="J11" s="2"/>
      <c r="K11" s="2">
        <v>2000</v>
      </c>
    </row>
    <row r="12" spans="6:11" x14ac:dyDescent="0.25">
      <c r="F12" t="s">
        <v>5</v>
      </c>
      <c r="G12" s="2"/>
      <c r="H12" s="2"/>
      <c r="I12" s="2"/>
      <c r="J12" s="2"/>
      <c r="K12" s="2"/>
    </row>
    <row r="13" spans="6:11" x14ac:dyDescent="0.25">
      <c r="F13" s="1" t="s">
        <v>11</v>
      </c>
      <c r="G13" s="3">
        <f>SUM(G6:G12)</f>
        <v>7600</v>
      </c>
      <c r="H13" s="3">
        <f>SUM(H6:H12)</f>
        <v>7600</v>
      </c>
      <c r="I13" s="3">
        <f>SUM(I6:I12)</f>
        <v>7600</v>
      </c>
      <c r="J13" s="3">
        <f>SUM(J6:J12)</f>
        <v>7600</v>
      </c>
      <c r="K13" s="3">
        <f>SUM(K6:K12)</f>
        <v>9600</v>
      </c>
    </row>
    <row r="14" spans="6:11" x14ac:dyDescent="0.25">
      <c r="G14" s="2"/>
      <c r="H14" s="2"/>
      <c r="I14" s="2"/>
      <c r="J14" s="2"/>
      <c r="K14" s="2"/>
    </row>
    <row r="15" spans="6:11" x14ac:dyDescent="0.25">
      <c r="F15" t="s">
        <v>13</v>
      </c>
      <c r="G15" s="2">
        <v>-5000</v>
      </c>
      <c r="H15" s="2">
        <v>-5000</v>
      </c>
      <c r="I15" s="2">
        <v>-5000</v>
      </c>
      <c r="J15" s="2">
        <v>-5000</v>
      </c>
      <c r="K15" s="2">
        <v>-7000</v>
      </c>
    </row>
    <row r="16" spans="6:11" x14ac:dyDescent="0.25">
      <c r="F16" t="s">
        <v>16</v>
      </c>
      <c r="G16" s="2">
        <v>-1000</v>
      </c>
      <c r="H16" s="2">
        <v>-1000</v>
      </c>
      <c r="I16" s="2">
        <v>-1000</v>
      </c>
      <c r="J16" s="2">
        <v>-1000</v>
      </c>
      <c r="K16" s="2">
        <v>-560</v>
      </c>
    </row>
    <row r="17" spans="4:15" x14ac:dyDescent="0.25">
      <c r="D17" s="4">
        <v>0.22</v>
      </c>
      <c r="F17" t="s">
        <v>18</v>
      </c>
      <c r="G17" s="2">
        <f>0.22*G15</f>
        <v>-1100</v>
      </c>
      <c r="H17" s="2">
        <f>0.22*H15</f>
        <v>-1100</v>
      </c>
      <c r="I17" s="2">
        <f>0.22*I15</f>
        <v>-1100</v>
      </c>
      <c r="J17" s="2">
        <f>0.22*J15</f>
        <v>-1100</v>
      </c>
      <c r="K17" s="2">
        <f>0.22*K15</f>
        <v>-1540</v>
      </c>
    </row>
    <row r="18" spans="4:15" x14ac:dyDescent="0.25">
      <c r="G18" s="2"/>
      <c r="H18" s="2"/>
      <c r="I18" s="2"/>
      <c r="J18" s="2"/>
      <c r="K18" s="2"/>
    </row>
    <row r="19" spans="4:15" x14ac:dyDescent="0.25">
      <c r="F19" t="s">
        <v>14</v>
      </c>
      <c r="G19" s="2">
        <v>-500</v>
      </c>
      <c r="H19" s="2">
        <v>-500</v>
      </c>
      <c r="I19" s="2">
        <v>-500</v>
      </c>
      <c r="J19" s="2">
        <v>-500</v>
      </c>
      <c r="K19" s="2">
        <v>-500</v>
      </c>
    </row>
    <row r="20" spans="4:15" x14ac:dyDescent="0.25">
      <c r="G20" s="2"/>
      <c r="H20" s="2"/>
      <c r="I20" s="2"/>
      <c r="J20" s="2"/>
      <c r="K20" s="2"/>
    </row>
    <row r="21" spans="4:15" x14ac:dyDescent="0.25">
      <c r="F21" s="1" t="s">
        <v>15</v>
      </c>
      <c r="G21" s="3">
        <f>SUM(G15:G20)</f>
        <v>-7600</v>
      </c>
      <c r="H21" s="3">
        <f>SUM(H15:H20)</f>
        <v>-7600</v>
      </c>
      <c r="I21" s="3">
        <f>SUM(I15:I20)</f>
        <v>-7600</v>
      </c>
      <c r="J21" s="3">
        <f>SUM(J15:J20)</f>
        <v>-7600</v>
      </c>
      <c r="K21" s="3">
        <f>SUM(K15:K20)</f>
        <v>-9600</v>
      </c>
      <c r="L21" s="1"/>
    </row>
    <row r="22" spans="4:15" x14ac:dyDescent="0.25">
      <c r="G22" s="2"/>
      <c r="H22" s="2"/>
      <c r="I22" s="2"/>
      <c r="J22" s="2"/>
      <c r="K22" s="2"/>
    </row>
    <row r="23" spans="4:15" ht="15.75" x14ac:dyDescent="0.25">
      <c r="F23" s="6" t="s">
        <v>17</v>
      </c>
      <c r="G23" s="7">
        <f>G13+G21</f>
        <v>0</v>
      </c>
      <c r="H23" s="7">
        <f>H13+H21</f>
        <v>0</v>
      </c>
      <c r="I23" s="7">
        <f>I13+I21</f>
        <v>0</v>
      </c>
      <c r="J23" s="7">
        <f>J13+J21</f>
        <v>0</v>
      </c>
      <c r="K23" s="7">
        <f>K13+K21</f>
        <v>0</v>
      </c>
      <c r="L23" s="2"/>
      <c r="M23" s="2">
        <f>SUM(G23:K23)</f>
        <v>0</v>
      </c>
      <c r="O23" s="2">
        <f>M23-fyra_typfall_tid1!M23</f>
        <v>-1260</v>
      </c>
    </row>
    <row r="24" spans="4:15" x14ac:dyDescent="0.25">
      <c r="G24" s="2"/>
      <c r="H24" s="2"/>
      <c r="I24" s="2"/>
      <c r="J24" s="2"/>
      <c r="K24" s="2"/>
    </row>
    <row r="25" spans="4:15" x14ac:dyDescent="0.25">
      <c r="G25" s="2"/>
      <c r="H25" s="2"/>
      <c r="I25" s="2"/>
      <c r="J25" s="2"/>
      <c r="K25" s="2"/>
    </row>
    <row r="26" spans="4:15" x14ac:dyDescent="0.25">
      <c r="F26" s="1" t="s">
        <v>20</v>
      </c>
      <c r="K26" s="2"/>
    </row>
    <row r="27" spans="4:15" x14ac:dyDescent="0.25">
      <c r="G27" s="5" t="s">
        <v>7</v>
      </c>
      <c r="H27" s="5" t="s">
        <v>8</v>
      </c>
      <c r="I27" s="5" t="s">
        <v>9</v>
      </c>
      <c r="J27" s="5" t="s">
        <v>10</v>
      </c>
      <c r="K27" s="5" t="s">
        <v>24</v>
      </c>
    </row>
    <row r="28" spans="4:15" x14ac:dyDescent="0.25">
      <c r="F28" t="s">
        <v>0</v>
      </c>
      <c r="G28" s="2">
        <v>1000</v>
      </c>
      <c r="H28" s="2">
        <v>1000</v>
      </c>
      <c r="I28" s="2">
        <v>1000</v>
      </c>
      <c r="J28" s="2">
        <v>1000</v>
      </c>
      <c r="K28" s="2">
        <v>1000</v>
      </c>
    </row>
    <row r="29" spans="4:15" x14ac:dyDescent="0.25">
      <c r="F29" t="s">
        <v>6</v>
      </c>
      <c r="G29" s="2">
        <v>2000</v>
      </c>
      <c r="H29" s="2">
        <v>2000</v>
      </c>
      <c r="I29" s="2">
        <v>2000</v>
      </c>
      <c r="J29" s="2">
        <v>2000</v>
      </c>
      <c r="K29" s="2">
        <v>2000</v>
      </c>
    </row>
    <row r="30" spans="4:15" x14ac:dyDescent="0.25">
      <c r="F30" t="s">
        <v>1</v>
      </c>
      <c r="G30" s="2">
        <v>1100</v>
      </c>
      <c r="H30" s="2">
        <v>1100</v>
      </c>
      <c r="I30" s="2">
        <v>1100</v>
      </c>
      <c r="J30" s="2">
        <v>1100</v>
      </c>
      <c r="K30" s="2">
        <v>1100</v>
      </c>
    </row>
    <row r="31" spans="4:15" x14ac:dyDescent="0.25">
      <c r="F31" t="s">
        <v>2</v>
      </c>
      <c r="G31" s="2">
        <v>3000</v>
      </c>
      <c r="H31" s="2">
        <v>3000</v>
      </c>
      <c r="I31" s="2">
        <v>3000</v>
      </c>
      <c r="J31" s="2"/>
      <c r="K31" s="2"/>
    </row>
    <row r="32" spans="4:15" x14ac:dyDescent="0.25">
      <c r="F32" t="s">
        <v>3</v>
      </c>
      <c r="G32" s="2">
        <v>500</v>
      </c>
      <c r="H32" s="2">
        <v>500</v>
      </c>
      <c r="I32" s="2"/>
      <c r="J32" s="2"/>
      <c r="K32" s="2"/>
    </row>
    <row r="33" spans="6:15" x14ac:dyDescent="0.25">
      <c r="F33" t="s">
        <v>4</v>
      </c>
      <c r="G33" s="2"/>
      <c r="H33" s="2"/>
      <c r="I33" s="2"/>
      <c r="J33" s="2"/>
      <c r="K33" s="2"/>
    </row>
    <row r="34" spans="6:15" x14ac:dyDescent="0.25">
      <c r="F34" t="s">
        <v>5</v>
      </c>
      <c r="G34" s="2"/>
      <c r="H34" s="2"/>
      <c r="I34" s="2"/>
      <c r="J34" s="2"/>
      <c r="K34" s="2"/>
    </row>
    <row r="35" spans="6:15" x14ac:dyDescent="0.25">
      <c r="F35" s="1" t="s">
        <v>11</v>
      </c>
      <c r="G35" s="3">
        <f>SUM(G28:G34)</f>
        <v>7600</v>
      </c>
      <c r="H35" s="3">
        <f>SUM(H28:H34)</f>
        <v>7600</v>
      </c>
      <c r="I35" s="3">
        <f>SUM(I28:I34)</f>
        <v>7100</v>
      </c>
      <c r="J35" s="3">
        <f>SUM(J28:J34)</f>
        <v>4100</v>
      </c>
      <c r="K35" s="3">
        <f>SUM(K28:K34)</f>
        <v>4100</v>
      </c>
    </row>
    <row r="36" spans="6:15" x14ac:dyDescent="0.25">
      <c r="G36" s="2"/>
      <c r="H36" s="2"/>
      <c r="I36" s="2"/>
      <c r="J36" s="2"/>
      <c r="K36" s="2"/>
    </row>
    <row r="37" spans="6:15" x14ac:dyDescent="0.25">
      <c r="F37" t="s">
        <v>13</v>
      </c>
      <c r="G37" s="2">
        <v>-5000</v>
      </c>
      <c r="H37" s="2">
        <v>-5000</v>
      </c>
      <c r="I37" s="2">
        <v>-5000</v>
      </c>
      <c r="J37" s="2">
        <v>-5000</v>
      </c>
      <c r="K37" s="2">
        <v>-7000</v>
      </c>
    </row>
    <row r="38" spans="6:15" x14ac:dyDescent="0.25">
      <c r="F38" t="s">
        <v>16</v>
      </c>
      <c r="G38" s="2">
        <v>-1000</v>
      </c>
      <c r="H38" s="2">
        <v>-1000</v>
      </c>
      <c r="I38" s="2">
        <v>-1000</v>
      </c>
      <c r="J38" s="2">
        <v>-1000</v>
      </c>
      <c r="K38" s="2">
        <v>-560</v>
      </c>
    </row>
    <row r="39" spans="6:15" x14ac:dyDescent="0.25">
      <c r="F39" t="s">
        <v>18</v>
      </c>
      <c r="G39" s="2">
        <f>0.22*G37</f>
        <v>-1100</v>
      </c>
      <c r="H39" s="2">
        <f>0.22*H37</f>
        <v>-1100</v>
      </c>
      <c r="I39" s="2">
        <f>0.22*I37</f>
        <v>-1100</v>
      </c>
      <c r="J39" s="2">
        <f>0.22*J37</f>
        <v>-1100</v>
      </c>
      <c r="K39" s="2">
        <f>0.22*K37</f>
        <v>-1540</v>
      </c>
    </row>
    <row r="40" spans="6:15" x14ac:dyDescent="0.25">
      <c r="G40" s="2"/>
      <c r="H40" s="2"/>
      <c r="I40" s="2"/>
      <c r="J40" s="2"/>
      <c r="K40" s="2"/>
    </row>
    <row r="41" spans="6:15" x14ac:dyDescent="0.25">
      <c r="F41" t="s">
        <v>14</v>
      </c>
      <c r="G41" s="2">
        <v>-500</v>
      </c>
      <c r="H41" s="2">
        <v>-500</v>
      </c>
      <c r="I41" s="2">
        <v>-500</v>
      </c>
      <c r="J41" s="2">
        <v>-500</v>
      </c>
      <c r="K41" s="2">
        <v>-500</v>
      </c>
    </row>
    <row r="42" spans="6:15" x14ac:dyDescent="0.25">
      <c r="G42" s="2"/>
      <c r="H42" s="2"/>
      <c r="I42" s="2"/>
      <c r="J42" s="2"/>
      <c r="K42" s="2"/>
    </row>
    <row r="43" spans="6:15" x14ac:dyDescent="0.25">
      <c r="F43" s="1" t="s">
        <v>15</v>
      </c>
      <c r="G43" s="3">
        <f>SUM(G37:G42)</f>
        <v>-7600</v>
      </c>
      <c r="H43" s="3">
        <f>SUM(H37:H42)</f>
        <v>-7600</v>
      </c>
      <c r="I43" s="3">
        <f>SUM(I37:I42)</f>
        <v>-7600</v>
      </c>
      <c r="J43" s="3">
        <f>SUM(J37:J42)</f>
        <v>-7600</v>
      </c>
      <c r="K43" s="3">
        <f>SUM(K37:K42)</f>
        <v>-9600</v>
      </c>
    </row>
    <row r="44" spans="6:15" x14ac:dyDescent="0.25">
      <c r="G44" s="2"/>
      <c r="H44" s="2"/>
      <c r="I44" s="2"/>
      <c r="J44" s="2"/>
      <c r="K44" s="2"/>
    </row>
    <row r="45" spans="6:15" ht="15.75" x14ac:dyDescent="0.25">
      <c r="F45" s="6" t="s">
        <v>17</v>
      </c>
      <c r="G45" s="7">
        <f>G35+G43</f>
        <v>0</v>
      </c>
      <c r="H45" s="7">
        <f>H35+H43</f>
        <v>0</v>
      </c>
      <c r="I45" s="7">
        <f>I35+I43</f>
        <v>-500</v>
      </c>
      <c r="J45" s="7">
        <f>J35+J43</f>
        <v>-3500</v>
      </c>
      <c r="K45" s="7">
        <f>K35+K43</f>
        <v>-5500</v>
      </c>
      <c r="M45" s="2">
        <f>SUM(G45:K45)</f>
        <v>-9500</v>
      </c>
      <c r="O45" s="2">
        <f>M45-fyra_typfall_tid1!M45</f>
        <v>-6760</v>
      </c>
    </row>
    <row r="48" spans="6:15" x14ac:dyDescent="0.25">
      <c r="F48" s="1" t="s">
        <v>21</v>
      </c>
    </row>
    <row r="49" spans="6:11" x14ac:dyDescent="0.25">
      <c r="G49" s="5" t="s">
        <v>7</v>
      </c>
      <c r="H49" s="5" t="s">
        <v>8</v>
      </c>
      <c r="I49" s="5" t="s">
        <v>9</v>
      </c>
      <c r="J49" s="5" t="s">
        <v>10</v>
      </c>
      <c r="K49" s="5" t="s">
        <v>24</v>
      </c>
    </row>
    <row r="50" spans="6:11" x14ac:dyDescent="0.25">
      <c r="F50" t="s">
        <v>0</v>
      </c>
      <c r="G50" s="2">
        <v>1000</v>
      </c>
      <c r="H50" s="2">
        <v>1000</v>
      </c>
      <c r="I50" s="2">
        <v>1000</v>
      </c>
      <c r="J50" s="2">
        <v>1000</v>
      </c>
      <c r="K50" s="2">
        <v>1000</v>
      </c>
    </row>
    <row r="51" spans="6:11" x14ac:dyDescent="0.25">
      <c r="F51" t="s">
        <v>6</v>
      </c>
      <c r="G51" s="2">
        <v>2000</v>
      </c>
      <c r="H51" s="2">
        <v>2000</v>
      </c>
      <c r="I51" s="2">
        <v>2000</v>
      </c>
      <c r="J51" s="2"/>
      <c r="K51" s="2">
        <v>2000</v>
      </c>
    </row>
    <row r="52" spans="6:11" x14ac:dyDescent="0.25">
      <c r="F52" t="s">
        <v>1</v>
      </c>
      <c r="G52" s="2">
        <v>1100</v>
      </c>
      <c r="H52" s="2">
        <v>1100</v>
      </c>
      <c r="I52" s="2">
        <v>1100</v>
      </c>
      <c r="J52" s="2"/>
      <c r="K52" s="2"/>
    </row>
    <row r="53" spans="6:11" x14ac:dyDescent="0.25">
      <c r="F53" t="s">
        <v>2</v>
      </c>
      <c r="G53" s="2">
        <v>3000</v>
      </c>
      <c r="H53" s="2">
        <v>3000</v>
      </c>
      <c r="I53" s="2"/>
      <c r="J53" s="2"/>
      <c r="K53" s="2"/>
    </row>
    <row r="54" spans="6:11" x14ac:dyDescent="0.25">
      <c r="F54" t="s">
        <v>3</v>
      </c>
      <c r="G54" s="2">
        <v>500</v>
      </c>
      <c r="H54" s="2">
        <v>500</v>
      </c>
      <c r="I54" s="2">
        <v>500</v>
      </c>
      <c r="J54" s="2"/>
      <c r="K54" s="2"/>
    </row>
    <row r="55" spans="6:11" x14ac:dyDescent="0.25">
      <c r="F55" t="s">
        <v>4</v>
      </c>
      <c r="G55" s="2"/>
      <c r="H55" s="2"/>
      <c r="I55" s="2"/>
      <c r="J55" s="2"/>
      <c r="K55" s="2"/>
    </row>
    <row r="56" spans="6:11" x14ac:dyDescent="0.25">
      <c r="F56" t="s">
        <v>5</v>
      </c>
      <c r="G56" s="2"/>
      <c r="H56" s="2"/>
      <c r="I56" s="2"/>
      <c r="J56" s="2"/>
      <c r="K56" s="2"/>
    </row>
    <row r="57" spans="6:11" x14ac:dyDescent="0.25">
      <c r="F57" s="1" t="s">
        <v>11</v>
      </c>
      <c r="G57" s="3">
        <f>SUM(G50:G56)</f>
        <v>7600</v>
      </c>
      <c r="H57" s="3">
        <f>SUM(H50:H56)</f>
        <v>7600</v>
      </c>
      <c r="I57" s="3">
        <f>SUM(I50:I56)</f>
        <v>4600</v>
      </c>
      <c r="J57" s="3">
        <f>SUM(J50:J56)</f>
        <v>1000</v>
      </c>
      <c r="K57" s="3">
        <f>SUM(K50:K56)</f>
        <v>3000</v>
      </c>
    </row>
    <row r="58" spans="6:11" x14ac:dyDescent="0.25">
      <c r="G58" s="2"/>
      <c r="H58" s="2"/>
      <c r="I58" s="2"/>
      <c r="J58" s="2"/>
      <c r="K58" s="2"/>
    </row>
    <row r="59" spans="6:11" x14ac:dyDescent="0.25">
      <c r="F59" t="s">
        <v>13</v>
      </c>
      <c r="G59" s="2">
        <v>-5000</v>
      </c>
      <c r="H59" s="2">
        <v>-5000</v>
      </c>
      <c r="I59" s="2">
        <v>-5000</v>
      </c>
      <c r="J59" s="2">
        <v>-5000</v>
      </c>
      <c r="K59" s="2">
        <v>-7000</v>
      </c>
    </row>
    <row r="60" spans="6:11" x14ac:dyDescent="0.25">
      <c r="F60" t="s">
        <v>16</v>
      </c>
      <c r="G60" s="2">
        <v>-1000</v>
      </c>
      <c r="H60" s="2">
        <v>-1000</v>
      </c>
      <c r="I60" s="2">
        <v>-1000</v>
      </c>
      <c r="J60" s="2">
        <v>-1000</v>
      </c>
      <c r="K60" s="2">
        <v>-560</v>
      </c>
    </row>
    <row r="61" spans="6:11" x14ac:dyDescent="0.25">
      <c r="F61" t="s">
        <v>18</v>
      </c>
      <c r="G61" s="2">
        <f>0.22*G59</f>
        <v>-1100</v>
      </c>
      <c r="H61" s="2">
        <f>0.22*H59</f>
        <v>-1100</v>
      </c>
      <c r="I61" s="2">
        <f>0.22*I59</f>
        <v>-1100</v>
      </c>
      <c r="J61" s="2">
        <f>0.22*J59</f>
        <v>-1100</v>
      </c>
      <c r="K61" s="2">
        <f>0.22*K59</f>
        <v>-1540</v>
      </c>
    </row>
    <row r="62" spans="6:11" x14ac:dyDescent="0.25">
      <c r="G62" s="2"/>
      <c r="H62" s="2"/>
      <c r="I62" s="2"/>
      <c r="J62" s="2"/>
      <c r="K62" s="2"/>
    </row>
    <row r="63" spans="6:11" x14ac:dyDescent="0.25">
      <c r="F63" t="s">
        <v>14</v>
      </c>
      <c r="G63" s="2">
        <v>-500</v>
      </c>
      <c r="H63" s="2">
        <v>-500</v>
      </c>
      <c r="I63" s="2">
        <v>-500</v>
      </c>
      <c r="J63" s="2">
        <v>-500</v>
      </c>
      <c r="K63" s="2">
        <v>-500</v>
      </c>
    </row>
    <row r="64" spans="6:11" x14ac:dyDescent="0.25">
      <c r="G64" s="2"/>
      <c r="H64" s="2"/>
      <c r="I64" s="2"/>
      <c r="J64" s="2"/>
      <c r="K64" s="2"/>
    </row>
    <row r="65" spans="6:15" x14ac:dyDescent="0.25">
      <c r="F65" s="1" t="s">
        <v>15</v>
      </c>
      <c r="G65" s="3">
        <f>SUM(G59:G64)</f>
        <v>-7600</v>
      </c>
      <c r="H65" s="3">
        <f>SUM(H59:H64)</f>
        <v>-7600</v>
      </c>
      <c r="I65" s="3">
        <f>SUM(I59:I64)</f>
        <v>-7600</v>
      </c>
      <c r="J65" s="3">
        <f>SUM(J59:J64)</f>
        <v>-7600</v>
      </c>
      <c r="K65" s="3">
        <f>SUM(K59:K64)</f>
        <v>-9600</v>
      </c>
    </row>
    <row r="66" spans="6:15" x14ac:dyDescent="0.25">
      <c r="G66" s="2"/>
      <c r="H66" s="2"/>
      <c r="I66" s="2"/>
      <c r="J66" s="2"/>
      <c r="K66" s="2"/>
    </row>
    <row r="67" spans="6:15" ht="15.75" x14ac:dyDescent="0.25">
      <c r="F67" t="s">
        <v>17</v>
      </c>
      <c r="G67" s="7">
        <f>G57+G65</f>
        <v>0</v>
      </c>
      <c r="H67" s="7">
        <f>H57+H65</f>
        <v>0</v>
      </c>
      <c r="I67" s="7">
        <f>I57+I65</f>
        <v>-3000</v>
      </c>
      <c r="J67" s="7">
        <f>J57+J65</f>
        <v>-6600</v>
      </c>
      <c r="K67" s="7">
        <f>K57+K65</f>
        <v>-6600</v>
      </c>
      <c r="M67" s="2">
        <f>SUM(G67:K67)</f>
        <v>-16200</v>
      </c>
      <c r="O67" s="2">
        <f>M67-fyra_typfall_tid1!M67</f>
        <v>-9860</v>
      </c>
    </row>
    <row r="70" spans="6:15" x14ac:dyDescent="0.25">
      <c r="F70" s="1" t="s">
        <v>22</v>
      </c>
    </row>
    <row r="71" spans="6:15" x14ac:dyDescent="0.25">
      <c r="G71" s="5" t="s">
        <v>7</v>
      </c>
      <c r="H71" s="5" t="s">
        <v>8</v>
      </c>
      <c r="I71" s="5" t="s">
        <v>9</v>
      </c>
      <c r="J71" s="5" t="s">
        <v>10</v>
      </c>
      <c r="K71" s="5" t="s">
        <v>24</v>
      </c>
    </row>
    <row r="72" spans="6:15" x14ac:dyDescent="0.25">
      <c r="F72" t="s">
        <v>0</v>
      </c>
      <c r="G72" s="2">
        <v>1000</v>
      </c>
      <c r="H72" s="2">
        <v>1000</v>
      </c>
      <c r="I72" s="2">
        <v>1000</v>
      </c>
      <c r="J72" s="2"/>
      <c r="K72" s="2"/>
    </row>
    <row r="73" spans="6:15" x14ac:dyDescent="0.25">
      <c r="F73" t="s">
        <v>6</v>
      </c>
      <c r="G73" s="2">
        <v>2000</v>
      </c>
      <c r="H73" s="2">
        <v>2000</v>
      </c>
      <c r="I73" s="2"/>
      <c r="J73" s="2"/>
      <c r="K73" s="2"/>
    </row>
    <row r="74" spans="6:15" x14ac:dyDescent="0.25">
      <c r="F74" t="s">
        <v>1</v>
      </c>
      <c r="G74" s="2">
        <v>1100</v>
      </c>
      <c r="H74" s="2"/>
      <c r="I74" s="2"/>
      <c r="J74" s="2"/>
      <c r="K74" s="2"/>
    </row>
    <row r="75" spans="6:15" x14ac:dyDescent="0.25">
      <c r="F75" t="s">
        <v>2</v>
      </c>
      <c r="G75" s="2">
        <v>3000</v>
      </c>
      <c r="H75" s="2"/>
      <c r="I75" s="2"/>
      <c r="J75" s="2"/>
      <c r="K75" s="2"/>
    </row>
    <row r="76" spans="6:15" x14ac:dyDescent="0.25">
      <c r="F76" t="s">
        <v>3</v>
      </c>
      <c r="G76" s="2">
        <v>500</v>
      </c>
      <c r="H76" s="2"/>
      <c r="I76" s="2"/>
      <c r="J76" s="2"/>
      <c r="K76" s="2"/>
    </row>
    <row r="77" spans="6:15" x14ac:dyDescent="0.25">
      <c r="F77" t="s">
        <v>4</v>
      </c>
      <c r="G77" s="2"/>
      <c r="H77" s="2"/>
      <c r="I77" s="2"/>
      <c r="J77" s="2"/>
      <c r="K77" s="2"/>
    </row>
    <row r="78" spans="6:15" x14ac:dyDescent="0.25">
      <c r="F78" t="s">
        <v>5</v>
      </c>
      <c r="G78" s="2"/>
      <c r="H78" s="2"/>
      <c r="I78" s="2"/>
      <c r="J78" s="2"/>
      <c r="K78" s="2"/>
    </row>
    <row r="79" spans="6:15" x14ac:dyDescent="0.25">
      <c r="F79" s="1" t="s">
        <v>11</v>
      </c>
      <c r="G79" s="3">
        <f>SUM(G72:G78)</f>
        <v>7600</v>
      </c>
      <c r="H79" s="3">
        <f>SUM(H72:H78)</f>
        <v>3000</v>
      </c>
      <c r="I79" s="3">
        <f>SUM(I72:I78)</f>
        <v>1000</v>
      </c>
      <c r="J79" s="3">
        <f>SUM(J72:J78)</f>
        <v>0</v>
      </c>
      <c r="K79" s="3">
        <f>SUM(K72:K78)</f>
        <v>0</v>
      </c>
    </row>
    <row r="80" spans="6:15" x14ac:dyDescent="0.25">
      <c r="G80" s="2"/>
      <c r="H80" s="2"/>
      <c r="I80" s="2"/>
      <c r="J80" s="2"/>
      <c r="K80" s="2"/>
    </row>
    <row r="81" spans="6:15" x14ac:dyDescent="0.25">
      <c r="F81" t="s">
        <v>13</v>
      </c>
      <c r="G81" s="2">
        <v>-5000</v>
      </c>
      <c r="H81" s="2">
        <v>-5000</v>
      </c>
      <c r="I81" s="2">
        <v>-5000</v>
      </c>
      <c r="J81" s="2">
        <v>-5000</v>
      </c>
      <c r="K81" s="2">
        <v>-7000</v>
      </c>
    </row>
    <row r="82" spans="6:15" x14ac:dyDescent="0.25">
      <c r="F82" t="s">
        <v>16</v>
      </c>
      <c r="G82" s="2">
        <v>-1000</v>
      </c>
      <c r="H82" s="2">
        <v>-1000</v>
      </c>
      <c r="I82" s="2">
        <v>-1000</v>
      </c>
      <c r="J82" s="2">
        <v>-1000</v>
      </c>
      <c r="K82" s="2">
        <v>-560</v>
      </c>
    </row>
    <row r="83" spans="6:15" x14ac:dyDescent="0.25">
      <c r="F83" t="s">
        <v>18</v>
      </c>
      <c r="G83" s="2">
        <f>0.22*G81</f>
        <v>-1100</v>
      </c>
      <c r="H83" s="2">
        <f>0.22*H81</f>
        <v>-1100</v>
      </c>
      <c r="I83" s="2">
        <f>0.22*I81</f>
        <v>-1100</v>
      </c>
      <c r="J83" s="2">
        <f>0.22*J81</f>
        <v>-1100</v>
      </c>
      <c r="K83" s="2">
        <f>0.22*K81</f>
        <v>-1540</v>
      </c>
    </row>
    <row r="84" spans="6:15" x14ac:dyDescent="0.25">
      <c r="G84" s="2"/>
      <c r="H84" s="2"/>
      <c r="I84" s="2"/>
      <c r="J84" s="2"/>
      <c r="K84" s="2"/>
    </row>
    <row r="85" spans="6:15" x14ac:dyDescent="0.25">
      <c r="F85" t="s">
        <v>14</v>
      </c>
      <c r="G85" s="2">
        <v>-500</v>
      </c>
      <c r="H85" s="2">
        <v>-500</v>
      </c>
      <c r="I85" s="2">
        <v>-500</v>
      </c>
      <c r="J85" s="2">
        <v>-500</v>
      </c>
      <c r="K85" s="2">
        <v>-500</v>
      </c>
    </row>
    <row r="86" spans="6:15" x14ac:dyDescent="0.25">
      <c r="G86" s="2"/>
      <c r="H86" s="2"/>
      <c r="I86" s="2"/>
      <c r="J86" s="2"/>
      <c r="K86" s="2"/>
    </row>
    <row r="87" spans="6:15" x14ac:dyDescent="0.25">
      <c r="F87" s="1" t="s">
        <v>15</v>
      </c>
      <c r="G87" s="3">
        <f>SUM(G81:G86)</f>
        <v>-7600</v>
      </c>
      <c r="H87" s="3">
        <f>SUM(H81:H86)</f>
        <v>-7600</v>
      </c>
      <c r="I87" s="3">
        <f>SUM(I81:I86)</f>
        <v>-7600</v>
      </c>
      <c r="J87" s="3">
        <f>SUM(J81:J86)</f>
        <v>-7600</v>
      </c>
      <c r="K87" s="3">
        <f>SUM(K81:K86)</f>
        <v>-9600</v>
      </c>
    </row>
    <row r="88" spans="6:15" x14ac:dyDescent="0.25">
      <c r="G88" s="2"/>
      <c r="H88" s="2"/>
      <c r="I88" s="2"/>
      <c r="J88" s="2"/>
      <c r="K88" s="2"/>
    </row>
    <row r="89" spans="6:15" ht="15.75" x14ac:dyDescent="0.25">
      <c r="F89" s="6" t="s">
        <v>17</v>
      </c>
      <c r="G89" s="7">
        <f>G79+G87</f>
        <v>0</v>
      </c>
      <c r="H89" s="7">
        <f>H79+H87</f>
        <v>-4600</v>
      </c>
      <c r="I89" s="7">
        <f>I79+I87</f>
        <v>-6600</v>
      </c>
      <c r="J89" s="7">
        <f>J79+J87</f>
        <v>-7600</v>
      </c>
      <c r="K89" s="7">
        <f>K79+K87</f>
        <v>-9600</v>
      </c>
      <c r="M89" s="2">
        <f>SUM(G89:K89)</f>
        <v>-28400</v>
      </c>
      <c r="O89" s="2">
        <f>M89-fyra_typfall_tid1!M89</f>
        <v>-12860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fyra_typfall_tid1</vt:lpstr>
      <vt:lpstr>fyra_typfall_tid1 (2)</vt:lpstr>
      <vt:lpstr>fyra_typfall_tid2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Lundgren</dc:creator>
  <cp:lastModifiedBy>Kent Lundgren</cp:lastModifiedBy>
  <dcterms:created xsi:type="dcterms:W3CDTF">2026-09-03T13:27:15Z</dcterms:created>
  <dcterms:modified xsi:type="dcterms:W3CDTF">2026-09-03T18:10:43Z</dcterms:modified>
</cp:coreProperties>
</file>